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HU-33 Data" sheetId="1" state="visible" r:id="rId1"/>
    <sheet xmlns:r="http://schemas.openxmlformats.org/officeDocument/2006/relationships" name="AHU-33 Table" sheetId="2" state="visible" r:id="rId2"/>
    <sheet xmlns:r="http://schemas.openxmlformats.org/officeDocument/2006/relationships" name="AHU-33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AHU-33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'AHU-33 Pivot'!D1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'AHU-33 Pivot'!$G$2:$G$9</f>
            </numRef>
          </cat>
          <val>
            <numRef>
              <f>'AHU-33 Pivot'!$D$2:$D$9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'AHU-33 Pivot'!E1</f>
            </strRef>
          </tx>
          <spPr>
            <a:ln xmlns:a="http://schemas.openxmlformats.org/drawingml/2006/main" w="19050">
              <a:solidFill>
                <a:srgbClr val="C00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Pivot'!$E$2:$E$9</f>
            </numRef>
          </val>
          <smooth val="0"/>
        </ser>
        <ser>
          <idx val="2"/>
          <order val="2"/>
          <tx>
            <strRef>
              <f>'AHU-33 Pivot'!F1</f>
            </strRef>
          </tx>
          <spPr>
            <a:ln xmlns:a="http://schemas.openxmlformats.org/drawingml/2006/main" w="19050">
              <a:solidFill>
                <a:srgbClr val="C07000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'AHU-33 Pivot'!$F$2:$F$9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위치</a:t>
                </a:r>
              </a:p>
            </rich>
          </tx>
        </title>
        <majorTickMark val="none"/>
        <minorTickMark val="none"/>
        <tickLblPos val="nextTo"/>
        <crossAx val="100"/>
        <lblOffset val="100"/>
        <tickLblSkip val="1"/>
      </catAx>
      <valAx>
        <axId val="100"/>
        <scaling>
          <orientation val="minMax"/>
          <max val="0.6000000000000001"/>
          <min val="0"/>
        </scaling>
        <delete val="0"/>
        <axPos val="l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12960000" cy="64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3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풍속 측정 기록지</t>
        </is>
      </c>
    </row>
    <row r="4">
      <c r="A4" s="2" t="inlineStr">
        <is>
          <t>NO.</t>
        </is>
      </c>
      <c r="B4" s="2" t="inlineStr">
        <is>
          <t>청정등급</t>
        </is>
      </c>
      <c r="C4" s="2" t="inlineStr">
        <is>
          <t>실번호</t>
        </is>
      </c>
      <c r="D4" s="2" t="inlineStr">
        <is>
          <t>실명</t>
        </is>
      </c>
      <c r="E4" s="2" t="inlineStr">
        <is>
          <t>측정번호</t>
        </is>
      </c>
      <c r="F4" s="2" t="inlineStr">
        <is>
          <t>측정값 (m/s)</t>
        </is>
      </c>
      <c r="G4" s="2" t="inlineStr">
        <is>
          <t>Average</t>
        </is>
      </c>
      <c r="H4" s="2" t="inlineStr">
        <is>
          <t>측정일자</t>
        </is>
      </c>
    </row>
    <row r="5">
      <c r="A5" s="3" t="n">
        <v>1</v>
      </c>
      <c r="B5" s="3" t="inlineStr">
        <is>
          <t>A</t>
        </is>
      </c>
      <c r="C5" s="3" t="n">
        <v>2142</v>
      </c>
      <c r="D5" s="3" t="inlineStr">
        <is>
          <t>무균시험실 BSC Bio SafetyCabinet-1(16830)</t>
        </is>
      </c>
      <c r="E5" s="3" t="n">
        <v>1</v>
      </c>
      <c r="F5" s="3" t="n">
        <v>0.47</v>
      </c>
      <c r="G5" s="3">
        <f>AVERAGE(F5:F8)</f>
        <v/>
      </c>
      <c r="H5" s="3" t="inlineStr">
        <is>
          <t>2025 (하)</t>
        </is>
      </c>
    </row>
    <row r="6">
      <c r="A6" s="3" t="n">
        <v>2</v>
      </c>
      <c r="B6" s="4" t="n"/>
      <c r="C6" s="4" t="n"/>
      <c r="D6" s="4" t="n"/>
      <c r="E6" s="3" t="n">
        <v>2</v>
      </c>
      <c r="F6" s="3" t="n">
        <v>0.44</v>
      </c>
      <c r="G6" s="4" t="n"/>
      <c r="H6" s="4" t="n"/>
    </row>
    <row r="7">
      <c r="A7" s="3" t="n">
        <v>3</v>
      </c>
      <c r="B7" s="4" t="n"/>
      <c r="C7" s="4" t="n"/>
      <c r="D7" s="4" t="n"/>
      <c r="E7" s="3" t="n">
        <v>3</v>
      </c>
      <c r="F7" s="3" t="n">
        <v>0.46</v>
      </c>
      <c r="G7" s="4" t="n"/>
      <c r="H7" s="4" t="n"/>
    </row>
    <row r="8">
      <c r="A8" s="3" t="n">
        <v>4</v>
      </c>
      <c r="B8" s="5" t="n"/>
      <c r="C8" s="5" t="n"/>
      <c r="D8" s="5" t="n"/>
      <c r="E8" s="3" t="n">
        <v>4</v>
      </c>
      <c r="F8" s="3" t="n">
        <v>0.44</v>
      </c>
      <c r="G8" s="5" t="n"/>
      <c r="H8" s="5" t="n"/>
    </row>
    <row r="9">
      <c r="A9" s="3" t="n">
        <v>5</v>
      </c>
      <c r="B9" s="3" t="inlineStr">
        <is>
          <t>B</t>
        </is>
      </c>
      <c r="C9" s="3" t="n">
        <v>2144</v>
      </c>
      <c r="D9" s="3" t="inlineStr">
        <is>
          <t>미생물 시험실 C/B(853) Clean bench-3(16832)</t>
        </is>
      </c>
      <c r="E9" s="3" t="n">
        <v>1</v>
      </c>
      <c r="F9" s="3" t="n">
        <v>0.5</v>
      </c>
      <c r="G9" s="3">
        <f>AVERAGE(F9:F9)</f>
        <v/>
      </c>
      <c r="H9" s="3" t="inlineStr">
        <is>
          <t>2025 (하)</t>
        </is>
      </c>
    </row>
    <row r="10">
      <c r="A10" s="3" t="n">
        <v>6</v>
      </c>
      <c r="B10" s="3" t="inlineStr">
        <is>
          <t>B</t>
        </is>
      </c>
      <c r="C10" s="3" t="n">
        <v>2165</v>
      </c>
      <c r="D10" s="3" t="inlineStr">
        <is>
          <t>균주접종 BSC Bio SafetyCabinet-6(16854)</t>
        </is>
      </c>
      <c r="E10" s="3" t="n">
        <v>1</v>
      </c>
      <c r="F10" s="3" t="n">
        <v>0.46</v>
      </c>
      <c r="G10" s="3">
        <f>AVERAGE(F10:F10)</f>
        <v/>
      </c>
      <c r="H10" s="3" t="inlineStr">
        <is>
          <t>2025 (하)</t>
        </is>
      </c>
    </row>
    <row r="11">
      <c r="A11" s="3" t="n">
        <v>7</v>
      </c>
      <c r="B11" s="3" t="inlineStr">
        <is>
          <t>D</t>
        </is>
      </c>
      <c r="C11" s="3" t="n">
        <v>2169</v>
      </c>
      <c r="D11" s="3" t="inlineStr">
        <is>
          <t>복도 PASS BOX(QHA-742)</t>
        </is>
      </c>
      <c r="E11" s="3" t="n">
        <v>1</v>
      </c>
      <c r="F11" s="3" t="n">
        <v>0.47</v>
      </c>
      <c r="G11" s="3">
        <f>AVERAGE(F11:F11)</f>
        <v/>
      </c>
      <c r="H11" s="3" t="inlineStr">
        <is>
          <t>2025 (하)</t>
        </is>
      </c>
    </row>
    <row r="12">
      <c r="A12" s="3" t="n">
        <v>8</v>
      </c>
      <c r="B12" s="3" t="inlineStr">
        <is>
          <t>D</t>
        </is>
      </c>
      <c r="C12" s="3" t="n">
        <v>2169</v>
      </c>
      <c r="D12" s="3" t="inlineStr">
        <is>
          <t>복도 PASS BOX(QHA-743)</t>
        </is>
      </c>
      <c r="E12" s="3" t="n">
        <v>1</v>
      </c>
      <c r="F12" s="3" t="n">
        <v>0.46</v>
      </c>
      <c r="G12" s="3">
        <f>AVERAGE(F12:F13)</f>
        <v/>
      </c>
      <c r="H12" s="3" t="inlineStr">
        <is>
          <t>2025 (하)</t>
        </is>
      </c>
    </row>
    <row r="13">
      <c r="A13" s="3" t="n">
        <v>9</v>
      </c>
      <c r="B13" s="5" t="n"/>
      <c r="C13" s="5" t="n"/>
      <c r="D13" s="5" t="n"/>
      <c r="E13" s="3" t="n">
        <v>2</v>
      </c>
      <c r="F13" s="3" t="n">
        <v>0.41</v>
      </c>
      <c r="G13" s="5" t="n"/>
      <c r="H13" s="5" t="n"/>
    </row>
    <row r="14">
      <c r="A14" s="3" t="n">
        <v>10</v>
      </c>
      <c r="B14" s="3" t="inlineStr">
        <is>
          <t>B</t>
        </is>
      </c>
      <c r="C14" s="3" t="n">
        <v>2142</v>
      </c>
      <c r="D14" s="3" t="inlineStr">
        <is>
          <t>무균시험실 PASS BOX(QHA-744)</t>
        </is>
      </c>
      <c r="E14" s="3" t="n">
        <v>1</v>
      </c>
      <c r="F14" s="3" t="n">
        <v>0.45</v>
      </c>
      <c r="G14" s="3">
        <f>AVERAGE(F14:F14)</f>
        <v/>
      </c>
      <c r="H14" s="3" t="inlineStr">
        <is>
          <t>2025 (하)</t>
        </is>
      </c>
    </row>
    <row r="15">
      <c r="A15" s="3" t="n">
        <v>11</v>
      </c>
      <c r="B15" s="3" t="inlineStr">
        <is>
          <t>B</t>
        </is>
      </c>
      <c r="C15" s="3" t="n">
        <v>2142</v>
      </c>
      <c r="D15" s="3" t="inlineStr">
        <is>
          <t>무균시험실 PASS BOX(QHA-745)</t>
        </is>
      </c>
      <c r="E15" s="3" t="n">
        <v>1</v>
      </c>
      <c r="F15" s="3" t="n">
        <v>0.45</v>
      </c>
      <c r="G15" s="3">
        <f>AVERAGE(F15:F18)</f>
        <v/>
      </c>
      <c r="H15" s="3" t="inlineStr">
        <is>
          <t>2025 (하)</t>
        </is>
      </c>
    </row>
    <row r="16">
      <c r="A16" s="3" t="n">
        <v>12</v>
      </c>
      <c r="B16" s="4" t="n"/>
      <c r="C16" s="4" t="n"/>
      <c r="D16" s="4" t="n"/>
      <c r="E16" s="3" t="n">
        <v>2</v>
      </c>
      <c r="F16" s="3" t="n">
        <v>0.48</v>
      </c>
      <c r="G16" s="4" t="n"/>
      <c r="H16" s="4" t="n"/>
    </row>
    <row r="17">
      <c r="A17" s="3" t="n">
        <v>13</v>
      </c>
      <c r="B17" s="4" t="n"/>
      <c r="C17" s="4" t="n"/>
      <c r="D17" s="4" t="n"/>
      <c r="E17" s="3" t="n">
        <v>3</v>
      </c>
      <c r="F17" s="3" t="n">
        <v>0.41</v>
      </c>
      <c r="G17" s="4" t="n"/>
      <c r="H17" s="4" t="n"/>
    </row>
    <row r="18">
      <c r="A18" s="3" t="n">
        <v>14</v>
      </c>
      <c r="B18" s="5" t="n"/>
      <c r="C18" s="5" t="n"/>
      <c r="D18" s="5" t="n"/>
      <c r="E18" s="3" t="n">
        <v>4</v>
      </c>
      <c r="F18" s="3" t="n">
        <v>0.43</v>
      </c>
      <c r="G18" s="5" t="n"/>
      <c r="H18" s="5" t="n"/>
    </row>
    <row r="19">
      <c r="A19" s="3" t="n">
        <v>15</v>
      </c>
      <c r="B19" s="3" t="inlineStr">
        <is>
          <t>B</t>
        </is>
      </c>
      <c r="C19" s="3" t="n">
        <v>2144</v>
      </c>
      <c r="D19" s="3" t="inlineStr">
        <is>
          <t>미생물 시험실 C/B(852) Clean bench-2(16831)</t>
        </is>
      </c>
      <c r="E19" s="3" t="n">
        <v>1</v>
      </c>
      <c r="F19" s="3" t="n">
        <v>0.4</v>
      </c>
      <c r="G19" s="3">
        <f>AVERAGE(F19:F22)</f>
        <v/>
      </c>
      <c r="H19" s="3" t="inlineStr">
        <is>
          <t>2025 (하)</t>
        </is>
      </c>
    </row>
    <row r="20">
      <c r="A20" s="3" t="n">
        <v>16</v>
      </c>
      <c r="B20" s="4" t="n"/>
      <c r="C20" s="4" t="n"/>
      <c r="D20" s="4" t="n"/>
      <c r="E20" s="3" t="n">
        <v>2</v>
      </c>
      <c r="F20" s="3" t="n">
        <v>0.42</v>
      </c>
      <c r="G20" s="4" t="n"/>
      <c r="H20" s="4" t="n"/>
    </row>
    <row r="21">
      <c r="A21" s="3" t="n">
        <v>17</v>
      </c>
      <c r="B21" s="4" t="n"/>
      <c r="C21" s="4" t="n"/>
      <c r="D21" s="4" t="n"/>
      <c r="E21" s="3" t="n">
        <v>3</v>
      </c>
      <c r="F21" s="3" t="n">
        <v>0.45</v>
      </c>
      <c r="G21" s="4" t="n"/>
      <c r="H21" s="4" t="n"/>
    </row>
    <row r="22">
      <c r="A22" s="3" t="n">
        <v>18</v>
      </c>
      <c r="B22" s="5" t="n"/>
      <c r="C22" s="5" t="n"/>
      <c r="D22" s="5" t="n"/>
      <c r="E22" s="3" t="n">
        <v>4</v>
      </c>
      <c r="F22" s="3" t="n">
        <v>0.47</v>
      </c>
      <c r="G22" s="5" t="n"/>
      <c r="H22" s="5" t="n"/>
    </row>
  </sheetData>
  <mergeCells count="21">
    <mergeCell ref="C5:C8"/>
    <mergeCell ref="B12:B13"/>
    <mergeCell ref="A1:H1"/>
    <mergeCell ref="G19:G22"/>
    <mergeCell ref="C12:C13"/>
    <mergeCell ref="D12:D13"/>
    <mergeCell ref="B19:B22"/>
    <mergeCell ref="G15:G18"/>
    <mergeCell ref="G5:G8"/>
    <mergeCell ref="H12:H13"/>
    <mergeCell ref="B15:B18"/>
    <mergeCell ref="D15:D18"/>
    <mergeCell ref="H19:H22"/>
    <mergeCell ref="C19:C22"/>
    <mergeCell ref="D5:D8"/>
    <mergeCell ref="B5:B8"/>
    <mergeCell ref="G12:G13"/>
    <mergeCell ref="H15:H18"/>
    <mergeCell ref="C15:C18"/>
    <mergeCell ref="D19:D22"/>
    <mergeCell ref="H5:H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F1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30" customWidth="1" min="4" max="4"/>
    <col width="12" customWidth="1" min="5" max="5"/>
    <col width="12" customWidth="1" min="6" max="6"/>
  </cols>
  <sheetData>
    <row r="4">
      <c r="A4" s="2" t="inlineStr">
        <is>
          <t>NO.</t>
        </is>
      </c>
      <c r="B4" s="2" t="inlineStr">
        <is>
          <t>청정등급</t>
        </is>
      </c>
      <c r="C4" s="2" t="inlineStr">
        <is>
          <t>실번호</t>
        </is>
      </c>
      <c r="D4" s="2" t="inlineStr">
        <is>
          <t>실명</t>
        </is>
      </c>
      <c r="E4" s="2" t="inlineStr">
        <is>
          <t>Average</t>
        </is>
      </c>
      <c r="F4" s="2" t="inlineStr">
        <is>
          <t>측정일자</t>
        </is>
      </c>
    </row>
    <row r="5">
      <c r="A5" s="3" t="n">
        <v>1</v>
      </c>
      <c r="B5" s="3" t="inlineStr">
        <is>
          <t>A</t>
        </is>
      </c>
      <c r="C5" s="3" t="n">
        <v>2142</v>
      </c>
      <c r="D5" s="3" t="inlineStr">
        <is>
          <t>무균시험실 BSC Bio SafetyCabinet-1(16830)</t>
        </is>
      </c>
      <c r="E5" s="3" t="n">
        <v>0.4525</v>
      </c>
      <c r="F5" s="3" t="inlineStr">
        <is>
          <t>2025 (하)</t>
        </is>
      </c>
    </row>
    <row r="6">
      <c r="A6" s="3" t="n">
        <v>2</v>
      </c>
      <c r="B6" s="3" t="inlineStr">
        <is>
          <t>B</t>
        </is>
      </c>
      <c r="C6" s="3" t="n">
        <v>2144</v>
      </c>
      <c r="D6" s="3" t="inlineStr">
        <is>
          <t>미생물 시험실 C/B(853) Clean bench-3(16832)</t>
        </is>
      </c>
      <c r="E6" s="3" t="n">
        <v>0.5</v>
      </c>
      <c r="F6" s="3" t="inlineStr">
        <is>
          <t>2025 (하)</t>
        </is>
      </c>
    </row>
    <row r="7">
      <c r="A7" s="3" t="n">
        <v>3</v>
      </c>
      <c r="B7" s="3" t="inlineStr">
        <is>
          <t>B</t>
        </is>
      </c>
      <c r="C7" s="3" t="n">
        <v>2165</v>
      </c>
      <c r="D7" s="3" t="inlineStr">
        <is>
          <t>균주접종 BSC Bio SafetyCabinet-6(16854)</t>
        </is>
      </c>
      <c r="E7" s="3" t="n">
        <v>0.46</v>
      </c>
      <c r="F7" s="3" t="inlineStr">
        <is>
          <t>2025 (하)</t>
        </is>
      </c>
    </row>
    <row r="8">
      <c r="A8" s="3" t="n">
        <v>4</v>
      </c>
      <c r="B8" s="3" t="inlineStr">
        <is>
          <t>D</t>
        </is>
      </c>
      <c r="C8" s="3" t="n">
        <v>2169</v>
      </c>
      <c r="D8" s="3" t="inlineStr">
        <is>
          <t>복도 PASS BOX(QHA-742)</t>
        </is>
      </c>
      <c r="E8" s="3" t="n">
        <v>0.47</v>
      </c>
      <c r="F8" s="3" t="inlineStr">
        <is>
          <t>2025 (하)</t>
        </is>
      </c>
    </row>
    <row r="9">
      <c r="A9" s="3" t="n">
        <v>5</v>
      </c>
      <c r="B9" s="3" t="inlineStr">
        <is>
          <t>D</t>
        </is>
      </c>
      <c r="C9" s="3" t="n">
        <v>2169</v>
      </c>
      <c r="D9" s="3" t="inlineStr">
        <is>
          <t>복도 PASS BOX(QHA-743)</t>
        </is>
      </c>
      <c r="E9" s="3" t="n">
        <v>0.435</v>
      </c>
      <c r="F9" s="3" t="inlineStr">
        <is>
          <t>2025 (하)</t>
        </is>
      </c>
    </row>
    <row r="10">
      <c r="A10" s="3" t="n">
        <v>6</v>
      </c>
      <c r="B10" s="3" t="inlineStr">
        <is>
          <t>B</t>
        </is>
      </c>
      <c r="C10" s="3" t="n">
        <v>2142</v>
      </c>
      <c r="D10" s="3" t="inlineStr">
        <is>
          <t>무균시험실 PASS BOX(QHA-744)</t>
        </is>
      </c>
      <c r="E10" s="3" t="n">
        <v>0.45</v>
      </c>
      <c r="F10" s="3" t="inlineStr">
        <is>
          <t>2025 (하)</t>
        </is>
      </c>
    </row>
    <row r="11">
      <c r="A11" s="3" t="n">
        <v>7</v>
      </c>
      <c r="B11" s="3" t="inlineStr">
        <is>
          <t>B</t>
        </is>
      </c>
      <c r="C11" s="3" t="n">
        <v>2142</v>
      </c>
      <c r="D11" s="3" t="inlineStr">
        <is>
          <t>무균시험실 PASS BOX(QHA-745)</t>
        </is>
      </c>
      <c r="E11" s="3" t="n">
        <v>0.4425</v>
      </c>
      <c r="F11" s="3" t="inlineStr">
        <is>
          <t>2025 (하)</t>
        </is>
      </c>
    </row>
    <row r="12">
      <c r="A12" s="3" t="n">
        <v>8</v>
      </c>
      <c r="B12" s="3" t="inlineStr">
        <is>
          <t>B</t>
        </is>
      </c>
      <c r="C12" s="3" t="n">
        <v>2144</v>
      </c>
      <c r="D12" s="3" t="inlineStr">
        <is>
          <t>미생물 시험실 C/B(852) Clean bench-2(16831)</t>
        </is>
      </c>
      <c r="E12" s="3" t="n">
        <v>0.435</v>
      </c>
      <c r="F12" s="3" t="inlineStr">
        <is>
          <t>2025 (하)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1">
      <c r="A1" t="inlineStr">
        <is>
          <t>청정등급</t>
        </is>
      </c>
      <c r="B1" t="inlineStr">
        <is>
          <t>실번호</t>
        </is>
      </c>
      <c r="C1" t="inlineStr">
        <is>
          <t>실명</t>
        </is>
      </c>
      <c r="D1" t="inlineStr">
        <is>
          <t>2025 (하)</t>
        </is>
      </c>
      <c r="E1" t="inlineStr">
        <is>
          <t>Lower Limit: 0.38 m/s</t>
        </is>
      </c>
      <c r="F1" t="inlineStr">
        <is>
          <t>Upper Limit: 0.52 m/s</t>
        </is>
      </c>
      <c r="G1" t="inlineStr">
        <is>
          <t>표시명</t>
        </is>
      </c>
    </row>
    <row r="2">
      <c r="A2" t="inlineStr">
        <is>
          <t>A</t>
        </is>
      </c>
      <c r="B2" t="n">
        <v>2142</v>
      </c>
      <c r="C2" t="inlineStr">
        <is>
          <t>무균시험실 BSC Bio SafetyCabinet-1(16830)</t>
        </is>
      </c>
      <c r="D2" t="n">
        <v>0.4525</v>
      </c>
      <c r="E2" t="n">
        <v>0.38</v>
      </c>
      <c r="F2" t="n">
        <v>0.52</v>
      </c>
      <c r="G2" t="inlineStr">
        <is>
          <t>A  2142  무균시험실 BSC Bio SafetyCabinet-1(16830)</t>
        </is>
      </c>
    </row>
    <row r="3">
      <c r="A3" t="inlineStr">
        <is>
          <t>B</t>
        </is>
      </c>
      <c r="B3" t="n">
        <v>2144</v>
      </c>
      <c r="C3" t="inlineStr">
        <is>
          <t>미생물 시험실 C/B(853) Clean bench-3(16832)</t>
        </is>
      </c>
      <c r="D3" t="n">
        <v>0.5</v>
      </c>
      <c r="E3" t="n">
        <v>0.38</v>
      </c>
      <c r="F3" t="n">
        <v>0.52</v>
      </c>
      <c r="G3" t="inlineStr">
        <is>
          <t>B  2144  미생물 시험실 C/B(853) Clean bench-3(16832)</t>
        </is>
      </c>
    </row>
    <row r="4">
      <c r="A4" t="inlineStr">
        <is>
          <t>B</t>
        </is>
      </c>
      <c r="B4" t="n">
        <v>2165</v>
      </c>
      <c r="C4" t="inlineStr">
        <is>
          <t>균주접종 BSC Bio SafetyCabinet-6(16854)</t>
        </is>
      </c>
      <c r="D4" t="n">
        <v>0.46</v>
      </c>
      <c r="E4" t="n">
        <v>0.38</v>
      </c>
      <c r="F4" t="n">
        <v>0.52</v>
      </c>
      <c r="G4" t="inlineStr">
        <is>
          <t>B  2165  균주접종 BSC Bio SafetyCabinet-6(16854)</t>
        </is>
      </c>
    </row>
    <row r="5">
      <c r="A5" t="inlineStr">
        <is>
          <t>D</t>
        </is>
      </c>
      <c r="B5" t="n">
        <v>2169</v>
      </c>
      <c r="C5" t="inlineStr">
        <is>
          <t>복도 PASS BOX(QHA-742)</t>
        </is>
      </c>
      <c r="D5" t="n">
        <v>0.47</v>
      </c>
      <c r="E5" t="n">
        <v>0.38</v>
      </c>
      <c r="F5" t="n">
        <v>0.52</v>
      </c>
      <c r="G5" t="inlineStr">
        <is>
          <t>D  2169  복도 PASS BOX(QHA-742)</t>
        </is>
      </c>
    </row>
    <row r="6">
      <c r="A6" t="inlineStr">
        <is>
          <t>D</t>
        </is>
      </c>
      <c r="B6" t="n">
        <v>2169</v>
      </c>
      <c r="C6" t="inlineStr">
        <is>
          <t>복도 PASS BOX(QHA-743)</t>
        </is>
      </c>
      <c r="D6" t="n">
        <v>0.435</v>
      </c>
      <c r="E6" t="n">
        <v>0.38</v>
      </c>
      <c r="F6" t="n">
        <v>0.52</v>
      </c>
      <c r="G6" t="inlineStr">
        <is>
          <t>D  2169  복도 PASS BOX(QHA-743)</t>
        </is>
      </c>
    </row>
    <row r="7">
      <c r="A7" t="inlineStr">
        <is>
          <t>B</t>
        </is>
      </c>
      <c r="B7" t="n">
        <v>2142</v>
      </c>
      <c r="C7" t="inlineStr">
        <is>
          <t>무균시험실 PASS BOX(QHA-744)</t>
        </is>
      </c>
      <c r="D7" t="n">
        <v>0.45</v>
      </c>
      <c r="E7" t="n">
        <v>0.38</v>
      </c>
      <c r="F7" t="n">
        <v>0.52</v>
      </c>
      <c r="G7" t="inlineStr">
        <is>
          <t>B  2142  무균시험실 PASS BOX(QHA-744)</t>
        </is>
      </c>
    </row>
    <row r="8">
      <c r="A8" t="inlineStr">
        <is>
          <t>B</t>
        </is>
      </c>
      <c r="B8" t="n">
        <v>2142</v>
      </c>
      <c r="C8" t="inlineStr">
        <is>
          <t>무균시험실 PASS BOX(QHA-745)</t>
        </is>
      </c>
      <c r="D8" t="n">
        <v>0.4425</v>
      </c>
      <c r="E8" t="n">
        <v>0.38</v>
      </c>
      <c r="F8" t="n">
        <v>0.52</v>
      </c>
      <c r="G8" t="inlineStr">
        <is>
          <t>B  2142  무균시험실 PASS BOX(QHA-745)</t>
        </is>
      </c>
    </row>
    <row r="9">
      <c r="A9" t="inlineStr">
        <is>
          <t>B</t>
        </is>
      </c>
      <c r="B9" t="n">
        <v>2144</v>
      </c>
      <c r="C9" t="inlineStr">
        <is>
          <t>미생물 시험실 C/B(852) Clean bench-2(16831)</t>
        </is>
      </c>
      <c r="D9" t="n">
        <v>0.435</v>
      </c>
      <c r="E9" t="n">
        <v>0.38</v>
      </c>
      <c r="F9" t="n">
        <v>0.52</v>
      </c>
      <c r="G9" t="inlineStr">
        <is>
          <t>B  2144  미생물 시험실 C/B(852) Clean bench-2(16831)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2026-08-03T05:17:33Z</dcterms:created>
  <dcterms:modified xmlns:dcterms="http://purl.org/dc/terms/" xmlns:xsi="http://www.w3.org/2001/XMLSchema-instance" xsi:type="dcterms:W3CDTF">2026-08-03T05:17:33Z</dcterms:modified>
</cp:coreProperties>
</file>