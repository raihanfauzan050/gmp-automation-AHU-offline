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hidePivotFieldList="1"/>
  <mc:AlternateContent xmlns:mc="http://schemas.openxmlformats.org/markup-compatibility/2006">
    <mc:Choice Requires="x15">
      <x15ac:absPath xmlns:x15ac="http://schemas.microsoft.com/office/spreadsheetml/2010/11/ac" url="/Users/irfanqobus/Desktop/joki-projek/gmp_automation/boilerplate/"/>
    </mc:Choice>
  </mc:AlternateContent>
  <xr:revisionPtr revIDLastSave="0" documentId="13_ncr:1_{0966C361-CE46-9B47-8A9F-BDDBCA1588C9}" xr6:coauthVersionLast="47" xr6:coauthVersionMax="47" xr10:uidLastSave="{00000000-0000-0000-0000-000000000000}"/>
  <bookViews>
    <workbookView xWindow="4420" yWindow="660" windowWidth="20560" windowHeight="18460" activeTab="2" xr2:uid="{00000000-000D-0000-FFFF-FFFF00000000}"/>
  </bookViews>
  <sheets>
    <sheet name="AHU-33 Data" sheetId="1" r:id="rId1"/>
    <sheet name="AHU-33 Table" sheetId="2" r:id="rId2"/>
    <sheet name="AHU-33 Pivot" sheetId="3" r:id="rId3"/>
  </sheets>
  <calcPr calcId="191029"/>
  <pivotCaches>
    <pivotCache cacheId="1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<sst xmlns="http://schemas.openxmlformats.org/spreadsheetml/2006/main" count="108" uniqueCount="30">
  <si>
    <t>HEPA FILTER 성능 검사 집계표</t>
  </si>
  <si>
    <t>NO</t>
  </si>
  <si>
    <t>실번호</t>
  </si>
  <si>
    <t>실명</t>
  </si>
  <si>
    <t>측정번호</t>
  </si>
  <si>
    <t>측정값</t>
  </si>
  <si>
    <t>Average</t>
  </si>
  <si>
    <t>측정일자</t>
  </si>
  <si>
    <t>무균시험실 BSC</t>
  </si>
  <si>
    <t>2025 (하)</t>
  </si>
  <si>
    <t>균주접종실 BSC</t>
  </si>
  <si>
    <t>미생물 시험실 C/B(852)</t>
  </si>
  <si>
    <t>미생물 시험실 C/B(853)</t>
  </si>
  <si>
    <t>PASS BOX(QHA-745)</t>
  </si>
  <si>
    <t>PASS BOX(QHA-744)</t>
  </si>
  <si>
    <t>PASS BOX(QHA-743)</t>
  </si>
  <si>
    <t>PASS BOX(QHA-742)</t>
  </si>
  <si>
    <t>미생물시험실</t>
  </si>
  <si>
    <t>탈의실</t>
  </si>
  <si>
    <t>착의실</t>
  </si>
  <si>
    <t>균주접종실</t>
  </si>
  <si>
    <t>복도</t>
  </si>
  <si>
    <t>무균시험실</t>
  </si>
  <si>
    <t>퇴실</t>
  </si>
  <si>
    <t>Sum of Average</t>
  </si>
  <si>
    <t>Column Labels</t>
  </si>
  <si>
    <t>Row Labels</t>
  </si>
  <si>
    <t>Grand Total</t>
  </si>
  <si>
    <t>참고: 위 피벗 차트에서 특정 등급의 제한선이 표시되지 않는 경우, 해당 등급의 모든 측정 결과가 아직 기준을 만족하고 있음을 의미합니다.</t>
  </si>
  <si>
    <t>해당 등급의 제한선은 제한값이 매우 높아 위 피벗 차트에 표시 가능한 범위를 초과하므로 나타나지 않습니다.</t>
  </si>
</sst>
</file>

<file path=xl/styles.xml><?xml version="1.0" encoding="utf-8"?>
<styleSheet xmlns="http://schemas.openxmlformats.org/spreadsheetml/2006/main">
  <numFmts count="2">
    <numFmt numFmtId="164" formatCode="0.000%"/>
    <numFmt numFmtId="165" formatCode="0.0000%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1"/>
    </font>
    <font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[HEPA Filter Test Result and Graph.xlsx]AHU-33 Pivot!PivotTable1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3200" b="1"/>
              <a:t>AHU-33</a:t>
            </a:r>
            <a:endParaRPr lang="en-US" altLang="ko-KR" b="1"/>
          </a:p>
        </c:rich>
      </c:tx>
      <c:layout>
        <c:manualLayout>
          <c:xMode val="edge"/>
          <c:yMode val="edge"/>
          <c:x val="0.45905431951497228"/>
          <c:y val="1.5546595156382429E-2"/>
        </c:manualLayout>
      </c:layout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'AHU-33 Pivot'!$B$1:$B$2</c:f>
              <c:strCache>
                <c:ptCount val="1"/>
                <c:pt idx="0">
                  <c:v>2025 (하)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'AHU-33 Pivot'!$A$3:$A$36</c:f>
              <c:multiLvlStrCache>
                <c:ptCount val="18"/>
                <c:lvl>
                  <c:pt idx="0">
                    <c:v>2169</c:v>
                  </c:pt>
                  <c:pt idx="1">
                    <c:v>2169</c:v>
                  </c:pt>
                  <c:pt idx="2">
                    <c:v>2142</c:v>
                  </c:pt>
                  <c:pt idx="3">
                    <c:v>2142</c:v>
                  </c:pt>
                  <c:pt idx="4">
                    <c:v>2165</c:v>
                  </c:pt>
                  <c:pt idx="5">
                    <c:v>2165</c:v>
                  </c:pt>
                  <c:pt idx="6">
                    <c:v>2142</c:v>
                  </c:pt>
                  <c:pt idx="7">
                    <c:v>2142</c:v>
                  </c:pt>
                  <c:pt idx="8">
                    <c:v>2144</c:v>
                  </c:pt>
                  <c:pt idx="9">
                    <c:v>2144</c:v>
                  </c:pt>
                  <c:pt idx="10">
                    <c:v>2144</c:v>
                  </c:pt>
                  <c:pt idx="11">
                    <c:v>2169</c:v>
                  </c:pt>
                  <c:pt idx="12">
                    <c:v>2146</c:v>
                  </c:pt>
                  <c:pt idx="13">
                    <c:v>2148</c:v>
                  </c:pt>
                  <c:pt idx="14">
                    <c:v>2149</c:v>
                  </c:pt>
                  <c:pt idx="15">
                    <c:v>2145</c:v>
                  </c:pt>
                  <c:pt idx="16">
                    <c:v>2147</c:v>
                  </c:pt>
                  <c:pt idx="17">
                    <c:v>2150</c:v>
                  </c:pt>
                </c:lvl>
                <c:lvl>
                  <c:pt idx="0">
                    <c:v>PASS BOX(QHA-742)</c:v>
                  </c:pt>
                  <c:pt idx="1">
                    <c:v>PASS BOX(QHA-743)</c:v>
                  </c:pt>
                  <c:pt idx="2">
                    <c:v>PASS BOX(QHA-744)</c:v>
                  </c:pt>
                  <c:pt idx="3">
                    <c:v>PASS BOX(QHA-745)</c:v>
                  </c:pt>
                  <c:pt idx="4">
                    <c:v>균주접종실</c:v>
                  </c:pt>
                  <c:pt idx="5">
                    <c:v>균주접종실 BSC</c:v>
                  </c:pt>
                  <c:pt idx="6">
                    <c:v>무균시험실</c:v>
                  </c:pt>
                  <c:pt idx="7">
                    <c:v>무균시험실 BSC</c:v>
                  </c:pt>
                  <c:pt idx="8">
                    <c:v>미생물 시험실 C/B(852)</c:v>
                  </c:pt>
                  <c:pt idx="9">
                    <c:v>미생물 시험실 C/B(853)</c:v>
                  </c:pt>
                  <c:pt idx="10">
                    <c:v>미생물시험실</c:v>
                  </c:pt>
                  <c:pt idx="11">
                    <c:v>복도</c:v>
                  </c:pt>
                  <c:pt idx="12">
                    <c:v>착의실</c:v>
                  </c:pt>
                  <c:pt idx="15">
                    <c:v>탈의실</c:v>
                  </c:pt>
                  <c:pt idx="17">
                    <c:v>퇴실</c:v>
                  </c:pt>
                </c:lvl>
              </c:multiLvlStrCache>
            </c:multiLvlStrRef>
          </c:cat>
          <c:val>
            <c:numRef>
              <c:f>'AHU-33 Pivot'!$B$3:$B$36</c:f>
              <c:numCache>
                <c:formatCode>0.0000%</c:formatCode>
                <c:ptCount val="18"/>
                <c:pt idx="0">
                  <c:v>2.0000000000000002E-5</c:v>
                </c:pt>
                <c:pt idx="1">
                  <c:v>1.0000000000000001E-5</c:v>
                </c:pt>
                <c:pt idx="2">
                  <c:v>3.0000000000000001E-5</c:v>
                </c:pt>
                <c:pt idx="3">
                  <c:v>1.0000000000000001E-5</c:v>
                </c:pt>
                <c:pt idx="4">
                  <c:v>3.0000000000000001E-5</c:v>
                </c:pt>
                <c:pt idx="5">
                  <c:v>1.0000000000000001E-5</c:v>
                </c:pt>
                <c:pt idx="6">
                  <c:v>2.0000000000000002E-5</c:v>
                </c:pt>
                <c:pt idx="7">
                  <c:v>3.0000000000000001E-5</c:v>
                </c:pt>
                <c:pt idx="8">
                  <c:v>0</c:v>
                </c:pt>
                <c:pt idx="9">
                  <c:v>0</c:v>
                </c:pt>
                <c:pt idx="10">
                  <c:v>3.0000000000000001E-5</c:v>
                </c:pt>
                <c:pt idx="11">
                  <c:v>2.5000000000000001E-5</c:v>
                </c:pt>
                <c:pt idx="12">
                  <c:v>2.0000000000000002E-5</c:v>
                </c:pt>
                <c:pt idx="13">
                  <c:v>4.0000000000000003E-5</c:v>
                </c:pt>
                <c:pt idx="14">
                  <c:v>2.0000000000000002E-5</c:v>
                </c:pt>
                <c:pt idx="15">
                  <c:v>1.0000000000000001E-5</c:v>
                </c:pt>
                <c:pt idx="16">
                  <c:v>5.0000000000000002E-5</c:v>
                </c:pt>
                <c:pt idx="17">
                  <c:v>1.0000000000000001E-5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71-4862-8961-6531171F4D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9101320"/>
        <c:axId val="429102728"/>
      </c:barChart>
      <c:catAx>
        <c:axId val="429101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9102728"/>
        <c:crosses val="autoZero"/>
        <c:auto val="1"/>
        <c:lblAlgn val="ctr"/>
        <c:lblOffset val="100"/>
        <c:noMultiLvlLbl val="0"/>
      </c:catAx>
      <c:valAx>
        <c:axId val="429102728"/>
        <c:scaling>
          <c:orientation val="minMax"/>
          <c:max val="2.0000000000000006E-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9101320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606334</xdr:colOff>
      <xdr:row>1</xdr:row>
      <xdr:rowOff>7077</xdr:rowOff>
    </xdr:from>
    <xdr:to>
      <xdr:col>40</xdr:col>
      <xdr:colOff>408214</xdr:colOff>
      <xdr:row>52</xdr:row>
      <xdr:rowOff>176894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586047</xdr:colOff>
      <xdr:row>27</xdr:row>
      <xdr:rowOff>84596</xdr:rowOff>
    </xdr:from>
    <xdr:to>
      <xdr:col>39</xdr:col>
      <xdr:colOff>262924</xdr:colOff>
      <xdr:row>27</xdr:row>
      <xdr:rowOff>89967</xdr:rowOff>
    </xdr:to>
    <xdr:cxnSp macro="">
      <xdr:nvCxnSpPr>
        <xdr:cNvPr id="4" name="직선 연결선 6">
          <a:extLst>
            <a:ext uri="{FF2B5EF4-FFF2-40B4-BE49-F238E27FC236}">
              <a16:creationId xmlns:a16="http://schemas.microsoft.com/office/drawing/2014/main" id="{37D5E0CB-37A3-70DE-7B2B-10A30B2AB167}"/>
            </a:ext>
          </a:extLst>
        </xdr:cNvPr>
        <xdr:cNvCxnSpPr/>
      </xdr:nvCxnSpPr>
      <xdr:spPr>
        <a:xfrm>
          <a:off x="4694435" y="5011703"/>
          <a:ext cx="20995615" cy="5371"/>
        </a:xfrm>
        <a:prstGeom prst="line">
          <a:avLst/>
        </a:prstGeom>
        <a:ln w="1905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207013</xdr:colOff>
      <xdr:row>26</xdr:row>
      <xdr:rowOff>93312</xdr:rowOff>
    </xdr:from>
    <xdr:to>
      <xdr:col>41</xdr:col>
      <xdr:colOff>189829</xdr:colOff>
      <xdr:row>28</xdr:row>
      <xdr:rowOff>6829</xdr:rowOff>
    </xdr:to>
    <xdr:sp macro="" textlink="">
      <xdr:nvSpPr>
        <xdr:cNvPr id="5" name="TextBox 1">
          <a:extLst>
            <a:ext uri="{FF2B5EF4-FFF2-40B4-BE49-F238E27FC236}">
              <a16:creationId xmlns:a16="http://schemas.microsoft.com/office/drawing/2014/main" id="{8B062199-5DBA-53D5-E37C-8D096BE5E39B}"/>
            </a:ext>
          </a:extLst>
        </xdr:cNvPr>
        <xdr:cNvSpPr txBox="1"/>
      </xdr:nvSpPr>
      <xdr:spPr>
        <a:xfrm>
          <a:off x="25634139" y="4837933"/>
          <a:ext cx="1201030" cy="278488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ko-KR" altLang="en-US" sz="1100" b="1" kern="1200">
              <a:solidFill>
                <a:srgbClr val="C00000"/>
              </a:solidFill>
            </a:rPr>
            <a:t>측정기준 </a:t>
          </a:r>
          <a:r>
            <a:rPr lang="en-US" altLang="ko-KR" sz="1100" b="1" kern="1200">
              <a:solidFill>
                <a:srgbClr val="C00000"/>
              </a:solidFill>
            </a:rPr>
            <a:t>: 0.01%</a:t>
          </a:r>
          <a:endParaRPr lang="en-ID" sz="1100" b="1" kern="1200">
            <a:solidFill>
              <a:srgbClr val="C00000"/>
            </a:solidFill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0.95385</cdr:x>
      <cdr:y>0.76932</cdr:y>
    </cdr:from>
    <cdr:to>
      <cdr:x>0.99475</cdr:x>
      <cdr:y>0.86706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0ABC68D-1780-064A-FB65-B48F83DCA48B}"/>
            </a:ext>
          </a:extLst>
        </cdr:cNvPr>
        <cdr:cNvSpPr txBox="1"/>
      </cdr:nvSpPr>
      <cdr:spPr>
        <a:xfrm xmlns:a="http://schemas.openxmlformats.org/drawingml/2006/main">
          <a:off x="21325411" y="719728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D" sz="1100" kern="12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Irfan Qobus" refreshedDate="46179.589065740744" createdVersion="8" refreshedVersion="8" minRefreshableVersion="3" recordCount="18" xr:uid="{00000000-000A-0000-FFFF-FFFF05000000}">
  <cacheSource type="worksheet">
    <worksheetSource ref="A3:E21" sheet="AHU-33 Table"/>
  </cacheSource>
  <cacheFields count="5">
    <cacheField name="NO" numFmtId="0">
      <sharedItems containsSemiMixedTypes="0" containsString="0" containsNumber="1" containsInteger="1" minValue="1" maxValue="18"/>
    </cacheField>
    <cacheField name="실번호" numFmtId="0">
      <sharedItems containsSemiMixedTypes="0" containsString="0" containsNumber="1" containsInteger="1" minValue="2142" maxValue="2169" count="10">
        <n v="2142"/>
        <n v="2165"/>
        <n v="2144"/>
        <n v="2169"/>
        <n v="2145"/>
        <n v="2146"/>
        <n v="2147"/>
        <n v="2148"/>
        <n v="2149"/>
        <n v="2150"/>
      </sharedItems>
    </cacheField>
    <cacheField name="실명" numFmtId="0">
      <sharedItems count="15">
        <s v="무균시험실 BSC"/>
        <s v="균주접종실 BSC"/>
        <s v="미생물 시험실 C/B(852)"/>
        <s v="미생물 시험실 C/B(853)"/>
        <s v="PASS BOX(QHA-745)"/>
        <s v="PASS BOX(QHA-744)"/>
        <s v="PASS BOX(QHA-743)"/>
        <s v="PASS BOX(QHA-742)"/>
        <s v="미생물시험실"/>
        <s v="탈의실"/>
        <s v="착의실"/>
        <s v="균주접종실"/>
        <s v="복도"/>
        <s v="무균시험실"/>
        <s v="퇴실"/>
      </sharedItems>
    </cacheField>
    <cacheField name="Average" numFmtId="165">
      <sharedItems containsSemiMixedTypes="0" containsString="0" containsNumber="1" minValue="0" maxValue="5.0000000000000002E-5"/>
    </cacheField>
    <cacheField name="측정일자" numFmtId="0">
      <sharedItems count="1">
        <s v="2025 (하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n v="1"/>
    <x v="0"/>
    <x v="0"/>
    <n v="3.0000000000000001E-5"/>
    <x v="0"/>
  </r>
  <r>
    <n v="2"/>
    <x v="1"/>
    <x v="1"/>
    <n v="1.0000000000000001E-5"/>
    <x v="0"/>
  </r>
  <r>
    <n v="3"/>
    <x v="2"/>
    <x v="2"/>
    <n v="0"/>
    <x v="0"/>
  </r>
  <r>
    <n v="4"/>
    <x v="2"/>
    <x v="3"/>
    <n v="0"/>
    <x v="0"/>
  </r>
  <r>
    <n v="5"/>
    <x v="0"/>
    <x v="4"/>
    <n v="1.0000000000000001E-5"/>
    <x v="0"/>
  </r>
  <r>
    <n v="6"/>
    <x v="0"/>
    <x v="5"/>
    <n v="3.0000000000000001E-5"/>
    <x v="0"/>
  </r>
  <r>
    <n v="7"/>
    <x v="3"/>
    <x v="6"/>
    <n v="1.0000000000000001E-5"/>
    <x v="0"/>
  </r>
  <r>
    <n v="8"/>
    <x v="3"/>
    <x v="7"/>
    <n v="2.0000000000000002E-5"/>
    <x v="0"/>
  </r>
  <r>
    <n v="9"/>
    <x v="2"/>
    <x v="8"/>
    <n v="3.0000000000000001E-5"/>
    <x v="0"/>
  </r>
  <r>
    <n v="10"/>
    <x v="4"/>
    <x v="9"/>
    <n v="1.0000000000000001E-5"/>
    <x v="0"/>
  </r>
  <r>
    <n v="11"/>
    <x v="5"/>
    <x v="10"/>
    <n v="2.0000000000000002E-5"/>
    <x v="0"/>
  </r>
  <r>
    <n v="12"/>
    <x v="1"/>
    <x v="11"/>
    <n v="3.0000000000000001E-5"/>
    <x v="0"/>
  </r>
  <r>
    <n v="13"/>
    <x v="3"/>
    <x v="12"/>
    <n v="2.5000000000000001E-5"/>
    <x v="0"/>
  </r>
  <r>
    <n v="14"/>
    <x v="0"/>
    <x v="13"/>
    <n v="2.0000000000000002E-5"/>
    <x v="0"/>
  </r>
  <r>
    <n v="15"/>
    <x v="6"/>
    <x v="9"/>
    <n v="5.0000000000000002E-5"/>
    <x v="0"/>
  </r>
  <r>
    <n v="16"/>
    <x v="7"/>
    <x v="10"/>
    <n v="4.0000000000000003E-5"/>
    <x v="0"/>
  </r>
  <r>
    <n v="17"/>
    <x v="8"/>
    <x v="10"/>
    <n v="2.0000000000000002E-5"/>
    <x v="0"/>
  </r>
  <r>
    <n v="18"/>
    <x v="9"/>
    <x v="14"/>
    <n v="1.0000000000000001E-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E21" firstHeaderRow="1" firstDataRow="2" firstDataCol="1"/>
  <pivotFields count="5">
    <pivotField showAll="0"/>
    <pivotField axis="axisRow" showAll="0">
      <items count="11">
        <item x="0"/>
        <item x="2"/>
        <item x="4"/>
        <item x="5"/>
        <item x="6"/>
        <item x="7"/>
        <item x="8"/>
        <item x="9"/>
        <item x="1"/>
        <item x="3"/>
        <item t="default"/>
      </items>
    </pivotField>
    <pivotField axis="axisRow" showAll="0">
      <items count="16">
        <item x="7"/>
        <item x="6"/>
        <item x="5"/>
        <item x="4"/>
        <item x="11"/>
        <item x="1"/>
        <item x="13"/>
        <item x="0"/>
        <item x="2"/>
        <item x="3"/>
        <item x="8"/>
        <item x="12"/>
        <item x="10"/>
        <item x="9"/>
        <item x="14"/>
        <item t="default"/>
      </items>
    </pivotField>
    <pivotField dataField="1" numFmtId="165" showAll="0"/>
    <pivotField axis="axisCol" showAll="0">
      <items count="2">
        <item x="0"/>
        <item t="default"/>
      </items>
    </pivotField>
  </pivotFields>
  <rowFields count="2">
    <field x="2"/>
    <field x="1"/>
  </rowFields>
  <rowItems count="34">
    <i>
      <x/>
    </i>
    <i r="1">
      <x v="9"/>
    </i>
    <i>
      <x v="1"/>
    </i>
    <i r="1">
      <x v="9"/>
    </i>
    <i>
      <x v="2"/>
    </i>
    <i r="1">
      <x/>
    </i>
    <i>
      <x v="3"/>
    </i>
    <i r="1">
      <x/>
    </i>
    <i>
      <x v="4"/>
    </i>
    <i r="1">
      <x v="8"/>
    </i>
    <i>
      <x v="5"/>
    </i>
    <i r="1">
      <x v="8"/>
    </i>
    <i>
      <x v="6"/>
    </i>
    <i r="1">
      <x/>
    </i>
    <i>
      <x v="7"/>
    </i>
    <i r="1">
      <x/>
    </i>
    <i>
      <x v="8"/>
    </i>
    <i r="1">
      <x v="1"/>
    </i>
    <i>
      <x v="9"/>
    </i>
    <i r="1">
      <x v="1"/>
    </i>
    <i>
      <x v="10"/>
    </i>
    <i r="1">
      <x v="1"/>
    </i>
    <i>
      <x v="11"/>
    </i>
    <i r="1">
      <x v="9"/>
    </i>
    <i>
      <x v="12"/>
    </i>
    <i r="1">
      <x v="3"/>
    </i>
    <i r="1">
      <x v="5"/>
    </i>
    <i r="1">
      <x v="6"/>
    </i>
    <i>
      <x v="13"/>
    </i>
    <i r="1">
      <x v="2"/>
    </i>
    <i r="1">
      <x v="4"/>
    </i>
    <i>
      <x v="14"/>
    </i>
    <i r="1">
      <x v="7"/>
    </i>
    <i t="grand">
      <x/>
    </i>
  </rowItems>
  <colFields count="1">
    <field x="4"/>
  </colFields>
  <colItems count="2">
    <i>
      <x/>
    </i>
    <i t="grand">
      <x/>
    </i>
  </colItems>
  <dataFields count="1">
    <dataField name="Sum of Average" fld="3" baseField="0" baseItem="0" numFmtId="165"/>
  </dataFields>
  <chartFormats count="2">
    <chartFormat chart="0" format="0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10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HEPA FILTER 성능 검사 집계표</t>
        </is>
      </c>
    </row>
    <row r="3">
      <c r="A3" s="2" t="inlineStr">
        <is>
          <t>NO</t>
        </is>
      </c>
      <c r="B3" s="2" t="inlineStr">
        <is>
          <t>실번호</t>
        </is>
      </c>
      <c r="C3" s="2" t="inlineStr">
        <is>
          <t>실명</t>
        </is>
      </c>
      <c r="D3" s="2" t="inlineStr">
        <is>
          <t>측정번호</t>
        </is>
      </c>
      <c r="E3" s="2" t="inlineStr">
        <is>
          <t>측정값</t>
        </is>
      </c>
      <c r="F3" s="2" t="inlineStr">
        <is>
          <t>Average</t>
        </is>
      </c>
      <c r="G3" s="2" t="inlineStr">
        <is>
          <t>측정일자</t>
        </is>
      </c>
    </row>
    <row r="4">
      <c r="A4" s="3" t="n">
        <v>1</v>
      </c>
      <c r="B4" s="3" t="n">
        <v>2142</v>
      </c>
      <c r="C4" s="3" t="inlineStr">
        <is>
          <t>무균시험실 BSC</t>
        </is>
      </c>
      <c r="D4" s="3" t="n">
        <v>1</v>
      </c>
      <c r="E4" s="4" t="n">
        <v>3e-05</v>
      </c>
      <c r="F4" s="5">
        <f>AVERAGE(E4:E4)</f>
        <v/>
      </c>
      <c r="G4" s="3" t="inlineStr">
        <is>
          <t>2025 (하)</t>
        </is>
      </c>
    </row>
    <row r="5">
      <c r="A5" s="3" t="n">
        <v>2</v>
      </c>
      <c r="B5" s="3" t="n">
        <v>2165</v>
      </c>
      <c r="C5" s="3" t="inlineStr">
        <is>
          <t>균주접종실 BSC</t>
        </is>
      </c>
      <c r="D5" s="3" t="n">
        <v>1</v>
      </c>
      <c r="E5" s="4" t="n">
        <v>1e-05</v>
      </c>
      <c r="F5" s="5">
        <f>AVERAGE(E5:E5)</f>
        <v/>
      </c>
      <c r="G5" s="3" t="inlineStr">
        <is>
          <t>2025 (하)</t>
        </is>
      </c>
    </row>
    <row r="6">
      <c r="A6" s="3" t="n">
        <v>3</v>
      </c>
      <c r="B6" s="3" t="n">
        <v>2144</v>
      </c>
      <c r="C6" s="3" t="inlineStr">
        <is>
          <t>미생물 시험실 C/B(852)</t>
        </is>
      </c>
      <c r="D6" s="3" t="n">
        <v>1</v>
      </c>
      <c r="E6" s="4" t="n">
        <v>0</v>
      </c>
      <c r="F6" s="5">
        <f>AVERAGE(E6:E6)</f>
        <v/>
      </c>
      <c r="G6" s="3" t="inlineStr">
        <is>
          <t>2025 (하)</t>
        </is>
      </c>
    </row>
    <row r="7">
      <c r="A7" s="3" t="n">
        <v>4</v>
      </c>
      <c r="B7" s="3" t="n">
        <v>2144</v>
      </c>
      <c r="C7" s="3" t="inlineStr">
        <is>
          <t>미생물 시험실 C/B(853)</t>
        </is>
      </c>
      <c r="D7" s="3" t="n">
        <v>1</v>
      </c>
      <c r="E7" s="4" t="n">
        <v>0</v>
      </c>
      <c r="F7" s="5">
        <f>AVERAGE(E7:E7)</f>
        <v/>
      </c>
      <c r="G7" s="3" t="inlineStr">
        <is>
          <t>2025 (하)</t>
        </is>
      </c>
    </row>
    <row r="8">
      <c r="A8" s="3" t="n">
        <v>5</v>
      </c>
      <c r="B8" s="3" t="n">
        <v>2142</v>
      </c>
      <c r="C8" s="3" t="inlineStr">
        <is>
          <t>PASS BOX(QHA-745)</t>
        </is>
      </c>
      <c r="D8" s="3" t="n">
        <v>1</v>
      </c>
      <c r="E8" s="4" t="n">
        <v>1e-05</v>
      </c>
      <c r="F8" s="5">
        <f>AVERAGE(E8:E8)</f>
        <v/>
      </c>
      <c r="G8" s="3" t="inlineStr">
        <is>
          <t>2025 (하)</t>
        </is>
      </c>
    </row>
    <row r="9">
      <c r="A9" s="3" t="n">
        <v>6</v>
      </c>
      <c r="B9" s="3" t="n">
        <v>2142</v>
      </c>
      <c r="C9" s="3" t="inlineStr">
        <is>
          <t>PASS BOX(QHA-744)</t>
        </is>
      </c>
      <c r="D9" s="3" t="n">
        <v>1</v>
      </c>
      <c r="E9" s="4" t="n">
        <v>3e-05</v>
      </c>
      <c r="F9" s="5">
        <f>AVERAGE(E9:E9)</f>
        <v/>
      </c>
      <c r="G9" s="3" t="inlineStr">
        <is>
          <t>2025 (하)</t>
        </is>
      </c>
    </row>
    <row r="10">
      <c r="A10" s="3" t="n">
        <v>7</v>
      </c>
      <c r="B10" s="3" t="n">
        <v>2169</v>
      </c>
      <c r="C10" s="3" t="inlineStr">
        <is>
          <t>PASS BOX(QHA-743)</t>
        </is>
      </c>
      <c r="D10" s="3" t="n">
        <v>1</v>
      </c>
      <c r="E10" s="4" t="n">
        <v>1e-05</v>
      </c>
      <c r="F10" s="5">
        <f>AVERAGE(E10:E10)</f>
        <v/>
      </c>
      <c r="G10" s="3" t="inlineStr">
        <is>
          <t>2025 (하)</t>
        </is>
      </c>
    </row>
    <row r="11">
      <c r="A11" s="3" t="n">
        <v>8</v>
      </c>
      <c r="B11" s="3" t="n">
        <v>2169</v>
      </c>
      <c r="C11" s="3" t="inlineStr">
        <is>
          <t>PASS BOX(QHA-742)</t>
        </is>
      </c>
      <c r="D11" s="3" t="n">
        <v>1</v>
      </c>
      <c r="E11" s="4" t="n">
        <v>2e-05</v>
      </c>
      <c r="F11" s="5">
        <f>AVERAGE(E11:E11)</f>
        <v/>
      </c>
      <c r="G11" s="3" t="inlineStr">
        <is>
          <t>2025 (하)</t>
        </is>
      </c>
    </row>
    <row r="12">
      <c r="A12" s="3" t="n">
        <v>9</v>
      </c>
      <c r="B12" s="3" t="n">
        <v>2144</v>
      </c>
      <c r="C12" s="3" t="inlineStr">
        <is>
          <t>미생물시험실</t>
        </is>
      </c>
      <c r="D12" s="3" t="n">
        <v>1</v>
      </c>
      <c r="E12" s="4" t="n">
        <v>1e-05</v>
      </c>
      <c r="F12" s="5">
        <f>AVERAGE(E12:E13)</f>
        <v/>
      </c>
      <c r="G12" s="3" t="inlineStr">
        <is>
          <t>2025 (하)</t>
        </is>
      </c>
    </row>
    <row r="13">
      <c r="A13" s="3" t="n">
        <v>10</v>
      </c>
      <c r="B13" s="6" t="n"/>
      <c r="C13" s="6" t="n"/>
      <c r="D13" s="3" t="n">
        <v>2</v>
      </c>
      <c r="E13" s="4" t="n">
        <v>5e-05</v>
      </c>
      <c r="F13" s="6" t="n"/>
      <c r="G13" s="6" t="n"/>
    </row>
    <row r="14">
      <c r="A14" s="3" t="n">
        <v>11</v>
      </c>
      <c r="B14" s="3" t="n">
        <v>2145</v>
      </c>
      <c r="C14" s="3" t="inlineStr">
        <is>
          <t>탈의실</t>
        </is>
      </c>
      <c r="D14" s="3" t="n">
        <v>1</v>
      </c>
      <c r="E14" s="4" t="n">
        <v>1e-05</v>
      </c>
      <c r="F14" s="5">
        <f>AVERAGE(E14:E14)</f>
        <v/>
      </c>
      <c r="G14" s="3" t="inlineStr">
        <is>
          <t>2025 (하)</t>
        </is>
      </c>
    </row>
    <row r="15">
      <c r="A15" s="3" t="n">
        <v>12</v>
      </c>
      <c r="B15" s="3" t="n">
        <v>2146</v>
      </c>
      <c r="C15" s="3" t="inlineStr">
        <is>
          <t>착의실</t>
        </is>
      </c>
      <c r="D15" s="3" t="n">
        <v>1</v>
      </c>
      <c r="E15" s="4" t="n">
        <v>2e-05</v>
      </c>
      <c r="F15" s="5">
        <f>AVERAGE(E15:E15)</f>
        <v/>
      </c>
      <c r="G15" s="3" t="inlineStr">
        <is>
          <t>2025 (하)</t>
        </is>
      </c>
    </row>
    <row r="16">
      <c r="A16" s="3" t="n">
        <v>13</v>
      </c>
      <c r="B16" s="3" t="n">
        <v>2165</v>
      </c>
      <c r="C16" s="3" t="inlineStr">
        <is>
          <t>균주접종실</t>
        </is>
      </c>
      <c r="D16" s="3" t="n">
        <v>1</v>
      </c>
      <c r="E16" s="4" t="n">
        <v>3e-05</v>
      </c>
      <c r="F16" s="5">
        <f>AVERAGE(E16:E17)</f>
        <v/>
      </c>
      <c r="G16" s="3" t="inlineStr">
        <is>
          <t>2025 (하)</t>
        </is>
      </c>
    </row>
    <row r="17">
      <c r="A17" s="3" t="n">
        <v>14</v>
      </c>
      <c r="B17" s="6" t="n"/>
      <c r="C17" s="6" t="n"/>
      <c r="D17" s="3" t="n">
        <v>2</v>
      </c>
      <c r="E17" s="4" t="n">
        <v>3e-05</v>
      </c>
      <c r="F17" s="6" t="n"/>
      <c r="G17" s="6" t="n"/>
    </row>
    <row r="18">
      <c r="A18" s="3" t="n">
        <v>15</v>
      </c>
      <c r="B18" s="3" t="n">
        <v>2169</v>
      </c>
      <c r="C18" s="3" t="inlineStr">
        <is>
          <t>복도</t>
        </is>
      </c>
      <c r="D18" s="3" t="n">
        <v>1</v>
      </c>
      <c r="E18" s="4" t="n">
        <v>4e-05</v>
      </c>
      <c r="F18" s="5">
        <f>AVERAGE(E18:E19)</f>
        <v/>
      </c>
      <c r="G18" s="3" t="inlineStr">
        <is>
          <t>2025 (하)</t>
        </is>
      </c>
    </row>
    <row r="19">
      <c r="A19" s="3" t="n">
        <v>16</v>
      </c>
      <c r="B19" s="6" t="n"/>
      <c r="C19" s="6" t="n"/>
      <c r="D19" s="3" t="n">
        <v>2</v>
      </c>
      <c r="E19" s="4" t="n">
        <v>1e-05</v>
      </c>
      <c r="F19" s="6" t="n"/>
      <c r="G19" s="6" t="n"/>
    </row>
    <row r="20">
      <c r="A20" s="3" t="n">
        <v>17</v>
      </c>
      <c r="B20" s="3" t="n">
        <v>2142</v>
      </c>
      <c r="C20" s="3" t="inlineStr">
        <is>
          <t>무균시험실</t>
        </is>
      </c>
      <c r="D20" s="3" t="n">
        <v>1</v>
      </c>
      <c r="E20" s="4" t="n">
        <v>3e-05</v>
      </c>
      <c r="F20" s="5">
        <f>AVERAGE(E20:E21)</f>
        <v/>
      </c>
      <c r="G20" s="3" t="inlineStr">
        <is>
          <t>2025 (하)</t>
        </is>
      </c>
    </row>
    <row r="21">
      <c r="A21" s="3" t="n">
        <v>18</v>
      </c>
      <c r="B21" s="6" t="n"/>
      <c r="C21" s="6" t="n"/>
      <c r="D21" s="3" t="n">
        <v>2</v>
      </c>
      <c r="E21" s="4" t="n">
        <v>1e-05</v>
      </c>
      <c r="F21" s="6" t="n"/>
      <c r="G21" s="6" t="n"/>
    </row>
    <row r="22">
      <c r="A22" s="3" t="n">
        <v>19</v>
      </c>
      <c r="B22" s="3" t="n">
        <v>2147</v>
      </c>
      <c r="C22" s="3" t="inlineStr">
        <is>
          <t>탈의실</t>
        </is>
      </c>
      <c r="D22" s="3" t="n">
        <v>1</v>
      </c>
      <c r="E22" s="4" t="n">
        <v>5e-05</v>
      </c>
      <c r="F22" s="5">
        <f>AVERAGE(E22:E23)</f>
        <v/>
      </c>
      <c r="G22" s="3" t="inlineStr">
        <is>
          <t>2025 (하)</t>
        </is>
      </c>
    </row>
    <row r="23">
      <c r="A23" s="3" t="n">
        <v>20</v>
      </c>
      <c r="B23" s="6" t="n"/>
      <c r="C23" s="6" t="n"/>
      <c r="D23" s="3" t="n">
        <v>2</v>
      </c>
      <c r="E23" s="4" t="n">
        <v>5e-05</v>
      </c>
      <c r="F23" s="6" t="n"/>
      <c r="G23" s="6" t="n"/>
    </row>
    <row r="24">
      <c r="A24" s="3" t="n">
        <v>21</v>
      </c>
      <c r="B24" s="3" t="n">
        <v>2148</v>
      </c>
      <c r="C24" s="3" t="inlineStr">
        <is>
          <t>착의실</t>
        </is>
      </c>
      <c r="D24" s="3" t="n">
        <v>1</v>
      </c>
      <c r="E24" s="4" t="n">
        <v>4e-05</v>
      </c>
      <c r="F24" s="5">
        <f>AVERAGE(E24:E24)</f>
        <v/>
      </c>
      <c r="G24" s="3" t="inlineStr">
        <is>
          <t>2025 (하)</t>
        </is>
      </c>
    </row>
    <row r="25">
      <c r="A25" s="3" t="n">
        <v>22</v>
      </c>
      <c r="B25" s="3" t="n">
        <v>2149</v>
      </c>
      <c r="C25" s="3" t="inlineStr">
        <is>
          <t>착의실</t>
        </is>
      </c>
      <c r="D25" s="3" t="n">
        <v>1</v>
      </c>
      <c r="E25" s="4" t="n">
        <v>2e-05</v>
      </c>
      <c r="F25" s="5">
        <f>AVERAGE(E25:E25)</f>
        <v/>
      </c>
      <c r="G25" s="3" t="inlineStr">
        <is>
          <t>2025 (하)</t>
        </is>
      </c>
    </row>
    <row r="26">
      <c r="A26" s="3" t="n">
        <v>23</v>
      </c>
      <c r="B26" s="3" t="n">
        <v>2150</v>
      </c>
      <c r="C26" s="3" t="inlineStr">
        <is>
          <t>퇴실</t>
        </is>
      </c>
      <c r="D26" s="3" t="n">
        <v>1</v>
      </c>
      <c r="E26" s="4" t="n">
        <v>1e-05</v>
      </c>
      <c r="F26" s="5">
        <f>AVERAGE(E26:E26)</f>
        <v/>
      </c>
      <c r="G26" s="3" t="inlineStr">
        <is>
          <t>2025 (하)</t>
        </is>
      </c>
    </row>
  </sheetData>
  <mergeCells count="21">
    <mergeCell ref="B12:B13"/>
    <mergeCell ref="B18:B19"/>
    <mergeCell ref="C20:C21"/>
    <mergeCell ref="F12:F13"/>
    <mergeCell ref="F20:F21"/>
    <mergeCell ref="C16:C17"/>
    <mergeCell ref="C22:C23"/>
    <mergeCell ref="F18:F19"/>
    <mergeCell ref="C12:C13"/>
    <mergeCell ref="F22:F23"/>
    <mergeCell ref="G20:G21"/>
    <mergeCell ref="G18:G19"/>
    <mergeCell ref="A1:G1"/>
    <mergeCell ref="B20:B21"/>
    <mergeCell ref="G16:G17"/>
    <mergeCell ref="G22:G23"/>
    <mergeCell ref="B22:B23"/>
    <mergeCell ref="G12:G13"/>
    <mergeCell ref="B16:B17"/>
    <mergeCell ref="C18:C19"/>
    <mergeCell ref="F16:F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E2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12" customWidth="1" min="4" max="4"/>
    <col width="12" customWidth="1" min="5" max="5"/>
  </cols>
  <sheetData>
    <row r="3">
      <c r="A3" s="2" t="inlineStr">
        <is>
          <t>NO</t>
        </is>
      </c>
      <c r="B3" s="2" t="inlineStr">
        <is>
          <t>실번호</t>
        </is>
      </c>
      <c r="C3" s="2" t="inlineStr">
        <is>
          <t>실명</t>
        </is>
      </c>
      <c r="D3" s="2" t="inlineStr">
        <is>
          <t>Average</t>
        </is>
      </c>
      <c r="E3" s="2" t="inlineStr">
        <is>
          <t>측정일자</t>
        </is>
      </c>
    </row>
    <row r="4">
      <c r="A4" s="3" t="n">
        <v>1</v>
      </c>
      <c r="B4" s="3" t="n">
        <v>2142</v>
      </c>
      <c r="C4" s="3" t="inlineStr">
        <is>
          <t>무균시험실 BSC</t>
        </is>
      </c>
      <c r="D4" s="5" t="n">
        <v>3e-05</v>
      </c>
      <c r="E4" s="3" t="inlineStr">
        <is>
          <t>2025 (하)</t>
        </is>
      </c>
    </row>
    <row r="5">
      <c r="A5" s="3" t="n">
        <v>2</v>
      </c>
      <c r="B5" s="3" t="n">
        <v>2165</v>
      </c>
      <c r="C5" s="3" t="inlineStr">
        <is>
          <t>균주접종실 BSC</t>
        </is>
      </c>
      <c r="D5" s="5" t="n">
        <v>1e-05</v>
      </c>
      <c r="E5" s="3" t="inlineStr">
        <is>
          <t>2025 (하)</t>
        </is>
      </c>
    </row>
    <row r="6">
      <c r="A6" s="3" t="n">
        <v>3</v>
      </c>
      <c r="B6" s="3" t="n">
        <v>2144</v>
      </c>
      <c r="C6" s="3" t="inlineStr">
        <is>
          <t>미생물 시험실 C/B(852)</t>
        </is>
      </c>
      <c r="D6" s="5" t="n">
        <v>0</v>
      </c>
      <c r="E6" s="3" t="inlineStr">
        <is>
          <t>2025 (하)</t>
        </is>
      </c>
    </row>
    <row r="7">
      <c r="A7" s="3" t="n">
        <v>4</v>
      </c>
      <c r="B7" s="3" t="n">
        <v>2144</v>
      </c>
      <c r="C7" s="3" t="inlineStr">
        <is>
          <t>미생물 시험실 C/B(853)</t>
        </is>
      </c>
      <c r="D7" s="5" t="n">
        <v>0</v>
      </c>
      <c r="E7" s="3" t="inlineStr">
        <is>
          <t>2025 (하)</t>
        </is>
      </c>
    </row>
    <row r="8">
      <c r="A8" s="3" t="n">
        <v>5</v>
      </c>
      <c r="B8" s="3" t="n">
        <v>2142</v>
      </c>
      <c r="C8" s="3" t="inlineStr">
        <is>
          <t>PASS BOX(QHA-745)</t>
        </is>
      </c>
      <c r="D8" s="5" t="n">
        <v>1e-05</v>
      </c>
      <c r="E8" s="3" t="inlineStr">
        <is>
          <t>2025 (하)</t>
        </is>
      </c>
    </row>
    <row r="9">
      <c r="A9" s="3" t="n">
        <v>6</v>
      </c>
      <c r="B9" s="3" t="n">
        <v>2142</v>
      </c>
      <c r="C9" s="3" t="inlineStr">
        <is>
          <t>PASS BOX(QHA-744)</t>
        </is>
      </c>
      <c r="D9" s="5" t="n">
        <v>3e-05</v>
      </c>
      <c r="E9" s="3" t="inlineStr">
        <is>
          <t>2025 (하)</t>
        </is>
      </c>
    </row>
    <row r="10">
      <c r="A10" s="3" t="n">
        <v>7</v>
      </c>
      <c r="B10" s="3" t="n">
        <v>2169</v>
      </c>
      <c r="C10" s="3" t="inlineStr">
        <is>
          <t>PASS BOX(QHA-743)</t>
        </is>
      </c>
      <c r="D10" s="5" t="n">
        <v>1e-05</v>
      </c>
      <c r="E10" s="3" t="inlineStr">
        <is>
          <t>2025 (하)</t>
        </is>
      </c>
    </row>
    <row r="11">
      <c r="A11" s="3" t="n">
        <v>8</v>
      </c>
      <c r="B11" s="3" t="n">
        <v>2169</v>
      </c>
      <c r="C11" s="3" t="inlineStr">
        <is>
          <t>PASS BOX(QHA-742)</t>
        </is>
      </c>
      <c r="D11" s="5" t="n">
        <v>2e-05</v>
      </c>
      <c r="E11" s="3" t="inlineStr">
        <is>
          <t>2025 (하)</t>
        </is>
      </c>
    </row>
    <row r="12">
      <c r="A12" s="3" t="n">
        <v>9</v>
      </c>
      <c r="B12" s="3" t="n">
        <v>2144</v>
      </c>
      <c r="C12" s="3" t="inlineStr">
        <is>
          <t>미생물시험실</t>
        </is>
      </c>
      <c r="D12" s="5" t="n">
        <v>3e-05</v>
      </c>
      <c r="E12" s="3" t="inlineStr">
        <is>
          <t>2025 (하)</t>
        </is>
      </c>
    </row>
    <row r="13">
      <c r="A13" s="3" t="n">
        <v>10</v>
      </c>
      <c r="B13" s="3" t="n">
        <v>2145</v>
      </c>
      <c r="C13" s="3" t="inlineStr">
        <is>
          <t>탈의실</t>
        </is>
      </c>
      <c r="D13" s="5" t="n">
        <v>1e-05</v>
      </c>
      <c r="E13" s="3" t="inlineStr">
        <is>
          <t>2025 (하)</t>
        </is>
      </c>
    </row>
    <row r="14">
      <c r="A14" s="3" t="n">
        <v>11</v>
      </c>
      <c r="B14" s="3" t="n">
        <v>2146</v>
      </c>
      <c r="C14" s="3" t="inlineStr">
        <is>
          <t>착의실</t>
        </is>
      </c>
      <c r="D14" s="5" t="n">
        <v>2e-05</v>
      </c>
      <c r="E14" s="3" t="inlineStr">
        <is>
          <t>2025 (하)</t>
        </is>
      </c>
    </row>
    <row r="15">
      <c r="A15" s="3" t="n">
        <v>12</v>
      </c>
      <c r="B15" s="3" t="n">
        <v>2165</v>
      </c>
      <c r="C15" s="3" t="inlineStr">
        <is>
          <t>균주접종실</t>
        </is>
      </c>
      <c r="D15" s="5" t="n">
        <v>3e-05</v>
      </c>
      <c r="E15" s="3" t="inlineStr">
        <is>
          <t>2025 (하)</t>
        </is>
      </c>
    </row>
    <row r="16">
      <c r="A16" s="3" t="n">
        <v>13</v>
      </c>
      <c r="B16" s="3" t="n">
        <v>2169</v>
      </c>
      <c r="C16" s="3" t="inlineStr">
        <is>
          <t>복도</t>
        </is>
      </c>
      <c r="D16" s="5" t="n">
        <v>2.5e-05</v>
      </c>
      <c r="E16" s="3" t="inlineStr">
        <is>
          <t>2025 (하)</t>
        </is>
      </c>
    </row>
    <row r="17">
      <c r="A17" s="3" t="n">
        <v>14</v>
      </c>
      <c r="B17" s="3" t="n">
        <v>2142</v>
      </c>
      <c r="C17" s="3" t="inlineStr">
        <is>
          <t>무균시험실</t>
        </is>
      </c>
      <c r="D17" s="5" t="n">
        <v>2e-05</v>
      </c>
      <c r="E17" s="3" t="inlineStr">
        <is>
          <t>2025 (하)</t>
        </is>
      </c>
    </row>
    <row r="18">
      <c r="A18" s="3" t="n">
        <v>15</v>
      </c>
      <c r="B18" s="3" t="n">
        <v>2147</v>
      </c>
      <c r="C18" s="3" t="inlineStr">
        <is>
          <t>탈의실</t>
        </is>
      </c>
      <c r="D18" s="5" t="n">
        <v>5e-05</v>
      </c>
      <c r="E18" s="3" t="inlineStr">
        <is>
          <t>2025 (하)</t>
        </is>
      </c>
    </row>
    <row r="19">
      <c r="A19" s="3" t="n">
        <v>16</v>
      </c>
      <c r="B19" s="3" t="n">
        <v>2148</v>
      </c>
      <c r="C19" s="3" t="inlineStr">
        <is>
          <t>착의실</t>
        </is>
      </c>
      <c r="D19" s="5" t="n">
        <v>4e-05</v>
      </c>
      <c r="E19" s="3" t="inlineStr">
        <is>
          <t>2025 (하)</t>
        </is>
      </c>
    </row>
    <row r="20">
      <c r="A20" s="3" t="n">
        <v>17</v>
      </c>
      <c r="B20" s="3" t="n">
        <v>2149</v>
      </c>
      <c r="C20" s="3" t="inlineStr">
        <is>
          <t>착의실</t>
        </is>
      </c>
      <c r="D20" s="5" t="n">
        <v>2e-05</v>
      </c>
      <c r="E20" s="3" t="inlineStr">
        <is>
          <t>2025 (하)</t>
        </is>
      </c>
    </row>
    <row r="21">
      <c r="A21" s="3" t="n">
        <v>18</v>
      </c>
      <c r="B21" s="3" t="n">
        <v>2150</v>
      </c>
      <c r="C21" s="3" t="inlineStr">
        <is>
          <t>퇴실</t>
        </is>
      </c>
      <c r="D21" s="5" t="n">
        <v>1e-05</v>
      </c>
      <c r="E21" s="3" t="inlineStr">
        <is>
          <t>2025 (하)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6"/>
  <sheetViews>
    <sheetView tabSelected="1" zoomScale="61" zoomScaleNormal="309" workbookViewId="0">
      <selection activeCell="E55" sqref="E55:R56"/>
    </sheetView>
  </sheetViews>
  <sheetFormatPr baseColWidth="10" defaultColWidth="8.83203125" defaultRowHeight="15" x14ac:dyDescent="0.2"/>
  <cols>
    <col min="1" max="1" width="22" bestFit="1" customWidth="1"/>
    <col min="2" max="2" width="17.6640625" bestFit="1" customWidth="1"/>
    <col min="3" max="3" width="10.33203125" bestFit="1" customWidth="1"/>
  </cols>
  <sheetData>
    <row r="1" spans="1:3" x14ac:dyDescent="0.2">
      <c r="A1" s="8" t="s">
        <v>24</v>
      </c>
      <c r="B1" s="8" t="s">
        <v>25</v>
      </c>
    </row>
    <row r="2" spans="1:3" x14ac:dyDescent="0.2">
      <c r="A2" s="8" t="s">
        <v>26</v>
      </c>
      <c r="B2" t="s">
        <v>9</v>
      </c>
      <c r="C2" t="s">
        <v>27</v>
      </c>
    </row>
    <row r="3" spans="1:3" x14ac:dyDescent="0.2">
      <c r="A3" s="5" t="s">
        <v>16</v>
      </c>
      <c r="B3" s="6">
        <v>2.0000000000000002E-5</v>
      </c>
      <c r="C3" s="6">
        <v>2.0000000000000002E-5</v>
      </c>
    </row>
    <row r="4" spans="1:3" x14ac:dyDescent="0.2">
      <c r="A4" s="7">
        <v>2169</v>
      </c>
      <c r="B4" s="6">
        <v>2.0000000000000002E-5</v>
      </c>
      <c r="C4" s="6">
        <v>2.0000000000000002E-5</v>
      </c>
    </row>
    <row r="5" spans="1:3" x14ac:dyDescent="0.2">
      <c r="A5" s="5" t="s">
        <v>15</v>
      </c>
      <c r="B5" s="6">
        <v>1.0000000000000001E-5</v>
      </c>
      <c r="C5" s="6">
        <v>1.0000000000000001E-5</v>
      </c>
    </row>
    <row r="6" spans="1:3" x14ac:dyDescent="0.2">
      <c r="A6" s="7">
        <v>2169</v>
      </c>
      <c r="B6" s="6">
        <v>1.0000000000000001E-5</v>
      </c>
      <c r="C6" s="6">
        <v>1.0000000000000001E-5</v>
      </c>
    </row>
    <row r="7" spans="1:3" x14ac:dyDescent="0.2">
      <c r="A7" s="5" t="s">
        <v>14</v>
      </c>
      <c r="B7" s="6">
        <v>3.0000000000000001E-5</v>
      </c>
      <c r="C7" s="6">
        <v>3.0000000000000001E-5</v>
      </c>
    </row>
    <row r="8" spans="1:3" x14ac:dyDescent="0.2">
      <c r="A8" s="7">
        <v>2142</v>
      </c>
      <c r="B8" s="6">
        <v>3.0000000000000001E-5</v>
      </c>
      <c r="C8" s="6">
        <v>3.0000000000000001E-5</v>
      </c>
    </row>
    <row r="9" spans="1:3" x14ac:dyDescent="0.2">
      <c r="A9" s="5" t="s">
        <v>13</v>
      </c>
      <c r="B9" s="6">
        <v>1.0000000000000001E-5</v>
      </c>
      <c r="C9" s="6">
        <v>1.0000000000000001E-5</v>
      </c>
    </row>
    <row r="10" spans="1:3" x14ac:dyDescent="0.2">
      <c r="A10" s="7">
        <v>2142</v>
      </c>
      <c r="B10" s="6">
        <v>1.0000000000000001E-5</v>
      </c>
      <c r="C10" s="6">
        <v>1.0000000000000001E-5</v>
      </c>
    </row>
    <row r="11" spans="1:3" x14ac:dyDescent="0.2">
      <c r="A11" s="5" t="s">
        <v>20</v>
      </c>
      <c r="B11" s="6">
        <v>3.0000000000000001E-5</v>
      </c>
      <c r="C11" s="6">
        <v>3.0000000000000001E-5</v>
      </c>
    </row>
    <row r="12" spans="1:3" x14ac:dyDescent="0.2">
      <c r="A12" s="7">
        <v>2165</v>
      </c>
      <c r="B12" s="6">
        <v>3.0000000000000001E-5</v>
      </c>
      <c r="C12" s="6">
        <v>3.0000000000000001E-5</v>
      </c>
    </row>
    <row r="13" spans="1:3" x14ac:dyDescent="0.2">
      <c r="A13" s="5" t="s">
        <v>10</v>
      </c>
      <c r="B13" s="6">
        <v>1.0000000000000001E-5</v>
      </c>
      <c r="C13" s="6">
        <v>1.0000000000000001E-5</v>
      </c>
    </row>
    <row r="14" spans="1:3" x14ac:dyDescent="0.2">
      <c r="A14" s="7">
        <v>2165</v>
      </c>
      <c r="B14" s="6">
        <v>1.0000000000000001E-5</v>
      </c>
      <c r="C14" s="6">
        <v>1.0000000000000001E-5</v>
      </c>
    </row>
    <row r="15" spans="1:3" x14ac:dyDescent="0.2">
      <c r="A15" s="5" t="s">
        <v>22</v>
      </c>
      <c r="B15" s="6">
        <v>2.0000000000000002E-5</v>
      </c>
      <c r="C15" s="6">
        <v>2.0000000000000002E-5</v>
      </c>
    </row>
    <row r="16" spans="1:3" x14ac:dyDescent="0.2">
      <c r="A16" s="7">
        <v>2142</v>
      </c>
      <c r="B16" s="6">
        <v>2.0000000000000002E-5</v>
      </c>
      <c r="C16" s="6">
        <v>2.0000000000000002E-5</v>
      </c>
    </row>
    <row r="17" spans="1:3" x14ac:dyDescent="0.2">
      <c r="A17" s="5" t="s">
        <v>8</v>
      </c>
      <c r="B17" s="6">
        <v>3.0000000000000001E-5</v>
      </c>
      <c r="C17" s="6">
        <v>3.0000000000000001E-5</v>
      </c>
    </row>
    <row r="18" spans="1:3" x14ac:dyDescent="0.2">
      <c r="A18" s="7">
        <v>2142</v>
      </c>
      <c r="B18" s="6">
        <v>3.0000000000000001E-5</v>
      </c>
      <c r="C18" s="6">
        <v>3.0000000000000001E-5</v>
      </c>
    </row>
    <row r="19" spans="1:3" x14ac:dyDescent="0.2">
      <c r="A19" s="5" t="s">
        <v>11</v>
      </c>
      <c r="B19" s="6">
        <v>0</v>
      </c>
      <c r="C19" s="6">
        <v>0</v>
      </c>
    </row>
    <row r="20" spans="1:3" x14ac:dyDescent="0.2">
      <c r="A20" s="7">
        <v>2144</v>
      </c>
      <c r="B20" s="6">
        <v>0</v>
      </c>
      <c r="C20" s="6">
        <v>0</v>
      </c>
    </row>
    <row r="21" spans="1:3" x14ac:dyDescent="0.2">
      <c r="A21" s="5" t="s">
        <v>12</v>
      </c>
      <c r="B21" s="6">
        <v>0</v>
      </c>
      <c r="C21" s="6">
        <v>0</v>
      </c>
    </row>
    <row r="22" spans="1:3" x14ac:dyDescent="0.2">
      <c r="A22" s="7">
        <v>2144</v>
      </c>
      <c r="B22" s="6">
        <v>0</v>
      </c>
      <c r="C22" s="6">
        <v>0</v>
      </c>
    </row>
    <row r="23" spans="1:3" x14ac:dyDescent="0.2">
      <c r="A23" s="5" t="s">
        <v>17</v>
      </c>
      <c r="B23" s="6">
        <v>3.0000000000000001E-5</v>
      </c>
      <c r="C23" s="6">
        <v>3.0000000000000001E-5</v>
      </c>
    </row>
    <row r="24" spans="1:3" x14ac:dyDescent="0.2">
      <c r="A24" s="7">
        <v>2144</v>
      </c>
      <c r="B24" s="6">
        <v>3.0000000000000001E-5</v>
      </c>
      <c r="C24" s="6">
        <v>3.0000000000000001E-5</v>
      </c>
    </row>
    <row r="25" spans="1:3" x14ac:dyDescent="0.2">
      <c r="A25" s="5" t="s">
        <v>21</v>
      </c>
      <c r="B25" s="6">
        <v>2.5000000000000001E-5</v>
      </c>
      <c r="C25" s="6">
        <v>2.5000000000000001E-5</v>
      </c>
    </row>
    <row r="26" spans="1:3" x14ac:dyDescent="0.2">
      <c r="A26" s="7">
        <v>2169</v>
      </c>
      <c r="B26" s="6">
        <v>2.5000000000000001E-5</v>
      </c>
      <c r="C26" s="6">
        <v>2.5000000000000001E-5</v>
      </c>
    </row>
    <row r="27" spans="1:3" x14ac:dyDescent="0.2">
      <c r="A27" s="5" t="s">
        <v>19</v>
      </c>
      <c r="B27" s="6">
        <v>8.0000000000000007E-5</v>
      </c>
      <c r="C27" s="6">
        <v>8.0000000000000007E-5</v>
      </c>
    </row>
    <row r="28" spans="1:3" x14ac:dyDescent="0.2">
      <c r="A28" s="7">
        <v>2146</v>
      </c>
      <c r="B28" s="6">
        <v>2.0000000000000002E-5</v>
      </c>
      <c r="C28" s="6">
        <v>2.0000000000000002E-5</v>
      </c>
    </row>
    <row r="29" spans="1:3" x14ac:dyDescent="0.2">
      <c r="A29" s="7">
        <v>2148</v>
      </c>
      <c r="B29" s="6">
        <v>4.0000000000000003E-5</v>
      </c>
      <c r="C29" s="6">
        <v>4.0000000000000003E-5</v>
      </c>
    </row>
    <row r="30" spans="1:3" x14ac:dyDescent="0.2">
      <c r="A30" s="7">
        <v>2149</v>
      </c>
      <c r="B30" s="6">
        <v>2.0000000000000002E-5</v>
      </c>
      <c r="C30" s="6">
        <v>2.0000000000000002E-5</v>
      </c>
    </row>
    <row r="31" spans="1:3" x14ac:dyDescent="0.2">
      <c r="A31" s="5" t="s">
        <v>18</v>
      </c>
      <c r="B31" s="6">
        <v>6.0000000000000002E-5</v>
      </c>
      <c r="C31" s="6">
        <v>6.0000000000000002E-5</v>
      </c>
    </row>
    <row r="32" spans="1:3" x14ac:dyDescent="0.2">
      <c r="A32" s="7">
        <v>2145</v>
      </c>
      <c r="B32" s="6">
        <v>1.0000000000000001E-5</v>
      </c>
      <c r="C32" s="6">
        <v>1.0000000000000001E-5</v>
      </c>
    </row>
    <row r="33" spans="1:3" x14ac:dyDescent="0.2">
      <c r="A33" s="7">
        <v>2147</v>
      </c>
      <c r="B33" s="6">
        <v>5.0000000000000002E-5</v>
      </c>
      <c r="C33" s="6">
        <v>5.0000000000000002E-5</v>
      </c>
    </row>
    <row r="34" spans="1:3" x14ac:dyDescent="0.2">
      <c r="A34" s="5" t="s">
        <v>23</v>
      </c>
      <c r="B34" s="6">
        <v>1.0000000000000001E-5</v>
      </c>
      <c r="C34" s="6">
        <v>1.0000000000000001E-5</v>
      </c>
    </row>
    <row r="35" spans="1:3" x14ac:dyDescent="0.2">
      <c r="A35" s="7">
        <v>2150</v>
      </c>
      <c r="B35" s="6">
        <v>1.0000000000000001E-5</v>
      </c>
      <c r="C35" s="6">
        <v>1.0000000000000001E-5</v>
      </c>
    </row>
    <row r="36" spans="1:3" x14ac:dyDescent="0.2">
      <c r="A36" s="5" t="s">
        <v>27</v>
      </c>
      <c r="B36" s="6">
        <v>3.6500000000000009E-4</v>
      </c>
      <c r="C36" s="6">
        <v>3.6500000000000009E-4</v>
      </c>
    </row>
    <row r="55" spans="5:18" x14ac:dyDescent="0.2">
      <c r="E55" s="14" t="s">
        <v>28</v>
      </c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</row>
    <row r="56" spans="5:18" x14ac:dyDescent="0.2">
      <c r="E56" s="14" t="s">
        <v>29</v>
      </c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</row>
  </sheetData>
  <mergeCells count="2">
    <mergeCell ref="E55:R55"/>
    <mergeCell ref="E56:R56"/>
  </mergeCells>
  <phoneticPr fontId="4" type="noConversion"/>
  <pageMargins left="0.75" right="0.75" top="1" bottom="1" header="0.5" footer="0.5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AHU-33 Data</vt:lpstr>
      <vt:lpstr>AHU-33 Table</vt:lpstr>
      <vt:lpstr>AHU-33 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Irfan Qobus Salim</cp:lastModifiedBy>
  <dcterms:created xsi:type="dcterms:W3CDTF">2026-05-03T23:58:00Z</dcterms:created>
  <dcterms:modified xsi:type="dcterms:W3CDTF">2026-06-06T07:09:14Z</dcterms:modified>
</cp:coreProperties>
</file>