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15420231-F1A0-CE49-B60F-7C11ED309BFC}" xr6:coauthVersionLast="47" xr6:coauthVersionMax="47" xr10:uidLastSave="{00000000-0000-0000-0000-000000000000}"/>
  <bookViews>
    <workbookView xWindow="4420" yWindow="3660" windowWidth="20560" windowHeight="12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29" i="1"/>
  <c r="G25" i="1"/>
  <c r="G21" i="1"/>
  <c r="G17" i="1"/>
  <c r="G13" i="1"/>
  <c r="G9" i="1"/>
  <c r="G5" i="1"/>
</calcChain>
</file>

<file path=xl/sharedStrings.xml><?xml version="1.0" encoding="utf-8"?>
<sst xmlns="http://schemas.openxmlformats.org/spreadsheetml/2006/main" count="87" uniqueCount="27">
  <si>
    <t>풍속 측정 기록지</t>
  </si>
  <si>
    <t>NO.</t>
  </si>
  <si>
    <t>청정등급</t>
  </si>
  <si>
    <t>실번호</t>
  </si>
  <si>
    <t>실명</t>
  </si>
  <si>
    <t>측정번호</t>
  </si>
  <si>
    <t>측정값 (m/s)</t>
  </si>
  <si>
    <t>Average</t>
  </si>
  <si>
    <t>측정일자</t>
  </si>
  <si>
    <t>A</t>
  </si>
  <si>
    <t>무균시험실 BSC
Bio SafetyCabinet-1(16830)</t>
  </si>
  <si>
    <t>2025 (하)</t>
  </si>
  <si>
    <t>B</t>
  </si>
  <si>
    <t>미생물 시험실 C/B(853)
Clean bench-3(16832)</t>
  </si>
  <si>
    <t>균주접종 BSC
Bio SafetyCabinet-6(16854)</t>
  </si>
  <si>
    <t>D</t>
  </si>
  <si>
    <t>복도
PASS BOX(QHA-742)</t>
  </si>
  <si>
    <t>복도
PASS BOX(QHA-743)</t>
  </si>
  <si>
    <t>무균시험실
PASS BOX(QHA-744)</t>
  </si>
  <si>
    <t>무균시험실
PASS BOX(QHA-745)</t>
  </si>
  <si>
    <t>미생물 시험실 C/B(852)
Clean bench-2(16831)</t>
  </si>
  <si>
    <t>Sum of Average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</si>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</sst>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name val="Calibri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 Velocity Test Result and Graph.xlsx]AHU-33 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1"/>
              <a:t>AHU-33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Pivot'!$A$3:$A$27</c:f>
              <c:multiLvlStrCache>
                <c:ptCount val="8"/>
                <c:lvl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  <c:pt idx="3">
                    <c:v>D</c:v>
                  </c:pt>
                  <c:pt idx="4">
                    <c:v>D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</c:lvl>
                <c:lvl>
                  <c:pt idx="0">
                    <c:v>2142</c:v>
                  </c:pt>
                  <c:pt idx="1">
                    <c:v>2144</c:v>
                  </c:pt>
                  <c:pt idx="2">
                    <c:v>2165</c:v>
                  </c:pt>
                  <c:pt idx="3">
                    <c:v>2169</c:v>
                  </c:pt>
                  <c:pt idx="4">
                    <c:v>2169</c:v>
                  </c:pt>
                  <c:pt idx="5">
                    <c:v>2142</c:v>
                  </c:pt>
                  <c:pt idx="6">
                    <c:v>2142</c:v>
                  </c:pt>
                  <c:pt idx="7">
                    <c:v>2144</c:v>
                  </c:pt>
                </c:lvl>
                <c:lvl>
                  <c:pt idx="0">
                    <c:v>무균시험실 BSC
Bio SafetyCabinet-1(16830)</c:v>
                  </c:pt>
                  <c:pt idx="1">
                    <c:v>미생물 시험실 C/B(853)
Clean bench-3(16832)</c:v>
                  </c:pt>
                  <c:pt idx="2">
                    <c:v>균주접종 BSC
Bio SafetyCabinet-6(16854)</c:v>
                  </c:pt>
                  <c:pt idx="3">
                    <c:v>복도
PASS BOX(QHA-742)</c:v>
                  </c:pt>
                  <c:pt idx="4">
                    <c:v>복도
PASS BOX(QHA-743)</c:v>
                  </c:pt>
                  <c:pt idx="5">
                    <c:v>무균시험실
PASS BOX(QHA-744)</c:v>
                  </c:pt>
                  <c:pt idx="6">
                    <c:v>무균시험실
PASS BOX(QHA-745)</c:v>
                  </c:pt>
                  <c:pt idx="7">
                    <c:v>미생물 시험실 C/B(852)
Clean bench-2(16831)</c:v>
                  </c:pt>
                </c:lvl>
              </c:multiLvlStrCache>
            </c:multiLvlStrRef>
          </c:cat>
          <c:val>
            <c:numRef>
              <c:f>'AHU-33 Pivot'!$B$3:$B$27</c:f>
              <c:numCache>
                <c:formatCode>0.0000</c:formatCode>
                <c:ptCount val="8"/>
                <c:pt idx="0">
                  <c:v>0.45250000000000001</c:v>
                </c:pt>
                <c:pt idx="1">
                  <c:v>0.46250000000000002</c:v>
                </c:pt>
                <c:pt idx="2">
                  <c:v>0.44</c:v>
                </c:pt>
                <c:pt idx="3">
                  <c:v>0.45750000000000002</c:v>
                </c:pt>
                <c:pt idx="4">
                  <c:v>0.4375</c:v>
                </c:pt>
                <c:pt idx="5">
                  <c:v>0.45250000000000001</c:v>
                </c:pt>
                <c:pt idx="6">
                  <c:v>0.4425</c:v>
                </c:pt>
                <c:pt idx="7">
                  <c:v>0.435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5-497F-8BC5-A6A507093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027928"/>
        <c:axId val="562028280"/>
      </c:barChart>
      <c:catAx>
        <c:axId val="56202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028280"/>
        <c:crosses val="autoZero"/>
        <c:auto val="1"/>
        <c:lblAlgn val="ctr"/>
        <c:lblOffset val="100"/>
        <c:noMultiLvlLbl val="0"/>
      </c:catAx>
      <c:valAx>
        <c:axId val="56202828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027928"/>
        <c:crosses val="autoZero"/>
        <c:crossBetween val="between"/>
      </c:valAx>
      <c:spPr>
        <a:ln>
          <a:solidFill>
            <a:srgbClr val="7030A0"/>
          </a:solidFill>
        </a:ln>
      </c:spPr>
    </c:plotArea>
    <c:legend>
      <c:legendPos val="r"/>
      <c:layout>
        <c:manualLayout>
          <c:xMode val="edge"/>
          <c:yMode val="edge"/>
          <c:x val="0.91830567792733309"/>
          <c:y val="0.58067539319769068"/>
          <c:w val="7.0545618224707174E-2"/>
          <c:h val="3.51694538374867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22647</xdr:colOff>
      <xdr:row>0</xdr:row>
      <xdr:rowOff>173955</xdr:rowOff>
    </xdr:from>
    <xdr:to>
      <xdr:col>19</xdr:col>
      <xdr:colOff>3597</xdr:colOff>
      <xdr:row>33</xdr:row>
      <xdr:rowOff>175637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329798</xdr:colOff>
      <xdr:row>10</xdr:row>
      <xdr:rowOff>149194</xdr:rowOff>
    </xdr:from>
    <xdr:ext cx="904851" cy="24981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4304215" y="2004498"/>
          <a:ext cx="904851" cy="2498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 b="1">
              <a:solidFill>
                <a:srgbClr val="00B050"/>
              </a:solidFill>
            </a:rPr>
            <a:t>조치기준</a:t>
          </a:r>
          <a:r>
            <a:rPr lang="en-US" altLang="ko-KR" sz="900" b="1">
              <a:solidFill>
                <a:srgbClr val="00B050"/>
              </a:solidFill>
            </a:rPr>
            <a:t>: 0.54</a:t>
          </a:r>
          <a:endParaRPr lang="ko-KR" altLang="en-US" sz="900" b="1">
            <a:solidFill>
              <a:srgbClr val="00B050"/>
            </a:solidFill>
          </a:endParaRPr>
        </a:p>
        <a:p>
          <a:endParaRPr lang="en-ID" sz="1100"/>
        </a:p>
      </xdr:txBody>
    </xdr:sp>
    <xdr:clientData/>
  </xdr:oneCellAnchor>
  <xdr:oneCellAnchor>
    <xdr:from>
      <xdr:col>17</xdr:col>
      <xdr:colOff>349759</xdr:colOff>
      <xdr:row>15</xdr:row>
      <xdr:rowOff>89817</xdr:rowOff>
    </xdr:from>
    <xdr:ext cx="979600" cy="291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4305955" y="2823078"/>
          <a:ext cx="97960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900" b="1">
              <a:solidFill>
                <a:srgbClr val="FF0000"/>
              </a:solidFill>
            </a:rPr>
            <a:t>경고기준</a:t>
          </a:r>
          <a:r>
            <a:rPr lang="en-US" altLang="ko-KR" sz="900" b="1">
              <a:solidFill>
                <a:srgbClr val="FF0000"/>
              </a:solidFill>
            </a:rPr>
            <a:t>: 0.38</a:t>
          </a:r>
          <a:endParaRPr lang="ko-KR" altLang="en-US" sz="900" b="1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528637</xdr:colOff>
      <xdr:row>17</xdr:row>
      <xdr:rowOff>39756</xdr:rowOff>
    </xdr:from>
    <xdr:to>
      <xdr:col>17</xdr:col>
      <xdr:colOff>369158</xdr:colOff>
      <xdr:row>17</xdr:row>
      <xdr:rowOff>52642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6578254" y="3193773"/>
          <a:ext cx="7765321" cy="12886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530087</xdr:colOff>
      <xdr:row>12</xdr:row>
      <xdr:rowOff>58806</xdr:rowOff>
    </xdr:from>
    <xdr:to>
      <xdr:col>17</xdr:col>
      <xdr:colOff>360293</xdr:colOff>
      <xdr:row>12</xdr:row>
      <xdr:rowOff>72394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6579704" y="2285171"/>
          <a:ext cx="7755006" cy="13588"/>
        </a:xfrm>
        <a:prstGeom prst="line">
          <a:avLst/>
        </a:prstGeom>
        <a:ln w="1905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523461</xdr:colOff>
      <xdr:row>11</xdr:row>
      <xdr:rowOff>130866</xdr:rowOff>
    </xdr:from>
    <xdr:to>
      <xdr:col>17</xdr:col>
      <xdr:colOff>360293</xdr:colOff>
      <xdr:row>11</xdr:row>
      <xdr:rowOff>139148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V="1">
          <a:off x="6573078" y="2171701"/>
          <a:ext cx="7761632" cy="8282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0.71479</cdr:x>
      <cdr:y>0.23135</cdr:y>
    </cdr:from>
    <cdr:to>
      <cdr:x>0.91264</cdr:x>
      <cdr:y>0.29292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92F474E-7929-2B0B-BAC7-EFD8A57C757F}"/>
            </a:ext>
          </a:extLst>
        </cdr:cNvPr>
        <cdr:cNvSpPr txBox="1"/>
      </cdr:nvSpPr>
      <cdr:spPr>
        <a:xfrm xmlns:a="http://schemas.openxmlformats.org/drawingml/2006/main">
          <a:off x="6513542" y="1391551"/>
          <a:ext cx="1802914" cy="370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0.90138</cdr:x>
      <cdr:y>0.33098</cdr:y>
    </cdr:from>
    <cdr:to>
      <cdr:x>0.99067</cdr:x>
      <cdr:y>0.36494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C3921F6-2009-AEFD-AC27-45F27035E228}"/>
            </a:ext>
          </a:extLst>
        </cdr:cNvPr>
        <cdr:cNvSpPr txBox="1"/>
      </cdr:nvSpPr>
      <cdr:spPr>
        <a:xfrm xmlns:a="http://schemas.openxmlformats.org/drawingml/2006/main">
          <a:off x="8213828" y="1990779"/>
          <a:ext cx="813657" cy="204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b="1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경고</a:t>
          </a:r>
          <a:r>
            <a:rPr lang="ko-KR" altLang="en-US" sz="900" b="1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기준</a:t>
          </a:r>
          <a:r>
            <a:rPr lang="en-US" sz="900" b="1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900" b="1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 0.52</a:t>
          </a:r>
          <a:endParaRPr lang="en-ID" sz="900" b="1">
            <a:solidFill>
              <a:srgbClr val="92D050"/>
            </a:solidFill>
            <a:effectLst/>
          </a:endParaRPr>
        </a:p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0.90405</cdr:x>
      <cdr:y>0.47268</cdr:y>
    </cdr:from>
    <cdr:to>
      <cdr:x>0.99273</cdr:x>
      <cdr:y>0.51896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933E2A90-61CE-9A29-9BB1-DB05FFB13649}"/>
            </a:ext>
          </a:extLst>
        </cdr:cNvPr>
        <cdr:cNvSpPr txBox="1"/>
      </cdr:nvSpPr>
      <cdr:spPr>
        <a:xfrm xmlns:a="http://schemas.openxmlformats.org/drawingml/2006/main">
          <a:off x="8238166" y="2843114"/>
          <a:ext cx="808099" cy="278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ko-KR" altLang="en-US" sz="900" b="1" kern="1200">
              <a:solidFill>
                <a:srgbClr val="C00000"/>
              </a:solidFill>
            </a:rPr>
            <a:t>조치기준</a:t>
          </a:r>
          <a:r>
            <a:rPr lang="en-US" altLang="ko-KR" sz="900" b="1" kern="1200">
              <a:solidFill>
                <a:srgbClr val="C00000"/>
              </a:solidFill>
            </a:rPr>
            <a:t>: 0.36</a:t>
          </a:r>
          <a:endParaRPr lang="ko-KR" altLang="en-US" sz="900" b="1" kern="1200">
            <a:solidFill>
              <a:srgbClr val="C00000"/>
            </a:solidFill>
          </a:endParaRPr>
        </a:p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0.05545</cdr:x>
      <cdr:y>0.46897</cdr:y>
    </cdr:from>
    <cdr:to>
      <cdr:x>0.90553</cdr:x>
      <cdr:y>0.46971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C12ADE65-0E4C-B803-28BB-D7ADAD8F72BE}"/>
            </a:ext>
          </a:extLst>
        </cdr:cNvPr>
        <cdr:cNvCxnSpPr/>
      </cdr:nvCxnSpPr>
      <cdr:spPr>
        <a:xfrm xmlns:a="http://schemas.openxmlformats.org/drawingml/2006/main" flipV="1">
          <a:off x="505990" y="2872072"/>
          <a:ext cx="7756939" cy="454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176.954186805553" createdVersion="8" refreshedVersion="8" minRefreshableVersion="3" recordCount="8" xr:uid="{00000000-000A-0000-FFFF-FFFF06000000}">
  <cacheSource type="worksheet">
    <worksheetSource ref="A4:F12" sheet="AHU-33 Table"/>
  </cacheSource>
  <cacheFields count="6">
    <cacheField name="NO." numFmtId="0">
      <sharedItems containsSemiMixedTypes="0" containsString="0" containsNumber="1" containsInteger="1" minValue="1" maxValue="8"/>
    </cacheField>
    <cacheField name="청정등급" numFmtId="0">
      <sharedItems count="3">
        <s v="A"/>
        <s v="B"/>
        <s v="D"/>
      </sharedItems>
    </cacheField>
    <cacheField name="실번호" numFmtId="0">
      <sharedItems containsSemiMixedTypes="0" containsString="0" containsNumber="1" containsInteger="1" minValue="2142" maxValue="2169" count="4">
        <n v="2142"/>
        <n v="2144"/>
        <n v="2165"/>
        <n v="2169"/>
      </sharedItems>
    </cacheField>
    <cacheField name="실명" numFmtId="0">
      <sharedItems count="16">
        <s v="무균시험실 BSC_x000a_Bio SafetyCabinet-1(16830)"/>
        <s v="미생물 시험실 C/B(853)_x000a_Clean bench-3(16832)"/>
        <s v="균주접종 BSC_x000a_Bio SafetyCabinet-6(16854)"/>
        <s v="복도_x000a_PASS BOX(QHA-742)"/>
        <s v="복도_x000a_PASS BOX(QHA-743)"/>
        <s v="무균시험실_x000a_PASS BOX(QHA-744)"/>
        <s v="무균시험실_x000a_PASS BOX(QHA-745)"/>
        <s v="미생물 시험실 C/B(852)_x000a_Clean bench-2(16831)"/>
        <s v="복도 _x000a_PASS BOX (QHA-742)" u="1"/>
        <s v="무균시험실 _x000a_PASS BOX (QHA-745)" u="1"/>
        <s v="미생물 시험실 C/B (853) _x000a_Clean bench-3 (16832)" u="1"/>
        <s v="무균시험실 _x000a_PASS BOX (QHA-744)" u="1"/>
        <s v="미생물 시험실 C/B (852) _x000a_Clean bench-2 (16831)" u="1"/>
        <s v="복도 _x000a_PASS BOX (QHA-743)" u="1"/>
        <s v="균주접종 BSC _x000a_Bio Safety Cabinet-6 (16854)" u="1"/>
        <s v="무균시험실 BSC _x000a_Bio Safety Cabinet-1 (16830)" u="1"/>
      </sharedItems>
    </cacheField>
    <cacheField name="Average" numFmtId="0">
      <sharedItems containsSemiMixedTypes="0" containsString="0" containsNumber="1" minValue="0.435" maxValue="0.46250000000000002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x v="0"/>
    <n v="0.45250000000000001"/>
    <x v="0"/>
  </r>
  <r>
    <n v="2"/>
    <x v="1"/>
    <x v="1"/>
    <x v="1"/>
    <n v="0.46250000000000002"/>
    <x v="0"/>
  </r>
  <r>
    <n v="3"/>
    <x v="1"/>
    <x v="2"/>
    <x v="2"/>
    <n v="0.44"/>
    <x v="0"/>
  </r>
  <r>
    <n v="4"/>
    <x v="2"/>
    <x v="3"/>
    <x v="3"/>
    <n v="0.45750000000000002"/>
    <x v="0"/>
  </r>
  <r>
    <n v="5"/>
    <x v="2"/>
    <x v="3"/>
    <x v="4"/>
    <n v="0.4375"/>
    <x v="0"/>
  </r>
  <r>
    <n v="6"/>
    <x v="1"/>
    <x v="0"/>
    <x v="5"/>
    <n v="0.45250000000000001"/>
    <x v="0"/>
  </r>
  <r>
    <n v="7"/>
    <x v="1"/>
    <x v="0"/>
    <x v="6"/>
    <n v="0.4425"/>
    <x v="0"/>
  </r>
  <r>
    <n v="8"/>
    <x v="1"/>
    <x v="1"/>
    <x v="7"/>
    <n v="0.4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7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7">
        <item m="1" x="14"/>
        <item m="1" x="11"/>
        <item m="1" x="9"/>
        <item m="1" x="15"/>
        <item m="1" x="12"/>
        <item m="1" x="10"/>
        <item m="1" x="8"/>
        <item m="1" x="13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4" showAll="0"/>
    <pivotField axis="axisCol" showAll="0">
      <items count="2">
        <item x="0"/>
        <item t="default"/>
      </items>
    </pivotField>
  </pivotFields>
  <rowFields count="3">
    <field x="3"/>
    <field x="2"/>
    <field x="1"/>
  </rowFields>
  <rowItems count="25">
    <i>
      <x v="8"/>
    </i>
    <i r="1">
      <x/>
    </i>
    <i r="2">
      <x/>
    </i>
    <i>
      <x v="9"/>
    </i>
    <i r="1">
      <x v="1"/>
    </i>
    <i r="2">
      <x v="1"/>
    </i>
    <i>
      <x v="10"/>
    </i>
    <i r="1">
      <x v="2"/>
    </i>
    <i r="2">
      <x v="1"/>
    </i>
    <i>
      <x v="11"/>
    </i>
    <i r="1">
      <x v="3"/>
    </i>
    <i r="2">
      <x v="2"/>
    </i>
    <i>
      <x v="12"/>
    </i>
    <i r="1">
      <x v="3"/>
    </i>
    <i r="2">
      <x v="2"/>
    </i>
    <i>
      <x v="13"/>
    </i>
    <i r="1">
      <x/>
    </i>
    <i r="2">
      <x v="1"/>
    </i>
    <i>
      <x v="14"/>
    </i>
    <i r="1">
      <x/>
    </i>
    <i r="2">
      <x v="1"/>
    </i>
    <i>
      <x v="15"/>
    </i>
    <i r="1">
      <x v="1"/>
    </i>
    <i r="2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Sum of Average" fld="4" baseField="0" baseItem="0" numFmtId="164"/>
  </dataFields>
  <chartFormats count="2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sqref="A1:H1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30" customWidth="1"/>
    <col min="5" max="5" width="10" customWidth="1"/>
    <col min="6" max="6" width="14" customWidth="1"/>
    <col min="7" max="8" width="12" customWidth="1"/>
  </cols>
  <sheetData>
    <row r="1" spans="1:8" x14ac:dyDescent="0.2">
      <c r="A1" s="8" t="s">
        <v>0</v>
      </c>
      <c r="B1" s="9"/>
      <c r="C1" s="9"/>
      <c r="D1" s="9"/>
      <c r="E1" s="9"/>
      <c r="F1" s="9"/>
      <c r="G1" s="9"/>
      <c r="H1" s="9"/>
    </row>
    <row r="4" spans="1:8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">
      <c r="A5" s="2">
        <v>1</v>
      </c>
      <c r="B5" s="10" t="s">
        <v>9</v>
      </c>
      <c r="C5" s="10">
        <v>2142</v>
      </c>
      <c r="D5" s="10" t="s">
        <v>10</v>
      </c>
      <c r="E5" s="2">
        <v>1</v>
      </c>
      <c r="F5" s="2">
        <v>0.47</v>
      </c>
      <c r="G5" s="10">
        <f>AVERAGE(F5:F8)</f>
        <v>0.45249999999999996</v>
      </c>
      <c r="H5" s="10" t="s">
        <v>11</v>
      </c>
    </row>
    <row r="6" spans="1:8" x14ac:dyDescent="0.2">
      <c r="A6" s="2">
        <v>2</v>
      </c>
      <c r="B6" s="11"/>
      <c r="C6" s="11"/>
      <c r="D6" s="11"/>
      <c r="E6" s="2">
        <v>2</v>
      </c>
      <c r="F6" s="2">
        <v>0.44</v>
      </c>
      <c r="G6" s="11"/>
      <c r="H6" s="11"/>
    </row>
    <row r="7" spans="1:8" x14ac:dyDescent="0.2">
      <c r="A7" s="2">
        <v>3</v>
      </c>
      <c r="B7" s="11"/>
      <c r="C7" s="11"/>
      <c r="D7" s="11"/>
      <c r="E7" s="2">
        <v>3</v>
      </c>
      <c r="F7" s="2">
        <v>0.46</v>
      </c>
      <c r="G7" s="11"/>
      <c r="H7" s="11"/>
    </row>
    <row r="8" spans="1:8" x14ac:dyDescent="0.2">
      <c r="A8" s="2">
        <v>4</v>
      </c>
      <c r="B8" s="12"/>
      <c r="C8" s="12"/>
      <c r="D8" s="12"/>
      <c r="E8" s="2">
        <v>4</v>
      </c>
      <c r="F8" s="2">
        <v>0.44</v>
      </c>
      <c r="G8" s="12"/>
      <c r="H8" s="12"/>
    </row>
    <row r="9" spans="1:8" x14ac:dyDescent="0.2">
      <c r="A9" s="2">
        <v>5</v>
      </c>
      <c r="B9" s="10" t="s">
        <v>12</v>
      </c>
      <c r="C9" s="10">
        <v>2144</v>
      </c>
      <c r="D9" s="10" t="s">
        <v>13</v>
      </c>
      <c r="E9" s="2">
        <v>1</v>
      </c>
      <c r="F9" s="2">
        <v>0.5</v>
      </c>
      <c r="G9" s="10">
        <f>AVERAGE(F9:F12)</f>
        <v>0.46249999999999997</v>
      </c>
      <c r="H9" s="10" t="s">
        <v>11</v>
      </c>
    </row>
    <row r="10" spans="1:8" x14ac:dyDescent="0.2">
      <c r="A10" s="2">
        <v>6</v>
      </c>
      <c r="B10" s="11"/>
      <c r="C10" s="11"/>
      <c r="D10" s="11"/>
      <c r="E10" s="2">
        <v>2</v>
      </c>
      <c r="F10" s="2">
        <v>0.45</v>
      </c>
      <c r="G10" s="11"/>
      <c r="H10" s="11"/>
    </row>
    <row r="11" spans="1:8" x14ac:dyDescent="0.2">
      <c r="A11" s="2">
        <v>7</v>
      </c>
      <c r="B11" s="11"/>
      <c r="C11" s="11"/>
      <c r="D11" s="11"/>
      <c r="E11" s="2">
        <v>3</v>
      </c>
      <c r="F11" s="2">
        <v>0.46</v>
      </c>
      <c r="G11" s="11"/>
      <c r="H11" s="11"/>
    </row>
    <row r="12" spans="1:8" x14ac:dyDescent="0.2">
      <c r="A12" s="2">
        <v>8</v>
      </c>
      <c r="B12" s="12"/>
      <c r="C12" s="12"/>
      <c r="D12" s="12"/>
      <c r="E12" s="2">
        <v>4</v>
      </c>
      <c r="F12" s="2">
        <v>0.44</v>
      </c>
      <c r="G12" s="12"/>
      <c r="H12" s="12"/>
    </row>
    <row r="13" spans="1:8" x14ac:dyDescent="0.2">
      <c r="A13" s="2">
        <v>9</v>
      </c>
      <c r="B13" s="10" t="s">
        <v>12</v>
      </c>
      <c r="C13" s="10">
        <v>2165</v>
      </c>
      <c r="D13" s="10" t="s">
        <v>14</v>
      </c>
      <c r="E13" s="2">
        <v>1</v>
      </c>
      <c r="F13" s="2">
        <v>0.46</v>
      </c>
      <c r="G13" s="10">
        <f>AVERAGE(F13:F16)</f>
        <v>0.43999999999999995</v>
      </c>
      <c r="H13" s="10" t="s">
        <v>11</v>
      </c>
    </row>
    <row r="14" spans="1:8" x14ac:dyDescent="0.2">
      <c r="A14" s="2">
        <v>10</v>
      </c>
      <c r="B14" s="11"/>
      <c r="C14" s="11"/>
      <c r="D14" s="11"/>
      <c r="E14" s="2">
        <v>2</v>
      </c>
      <c r="F14" s="2">
        <v>0.47</v>
      </c>
      <c r="G14" s="11"/>
      <c r="H14" s="11"/>
    </row>
    <row r="15" spans="1:8" x14ac:dyDescent="0.2">
      <c r="A15" s="2">
        <v>11</v>
      </c>
      <c r="B15" s="11"/>
      <c r="C15" s="11"/>
      <c r="D15" s="11"/>
      <c r="E15" s="2">
        <v>3</v>
      </c>
      <c r="F15" s="2">
        <v>0.44</v>
      </c>
      <c r="G15" s="11"/>
      <c r="H15" s="11"/>
    </row>
    <row r="16" spans="1:8" x14ac:dyDescent="0.2">
      <c r="A16" s="2">
        <v>12</v>
      </c>
      <c r="B16" s="12"/>
      <c r="C16" s="12"/>
      <c r="D16" s="12"/>
      <c r="E16" s="2">
        <v>4</v>
      </c>
      <c r="F16" s="2">
        <v>0.39</v>
      </c>
      <c r="G16" s="12"/>
      <c r="H16" s="12"/>
    </row>
    <row r="17" spans="1:8" x14ac:dyDescent="0.2">
      <c r="A17" s="2">
        <v>13</v>
      </c>
      <c r="B17" s="10" t="s">
        <v>15</v>
      </c>
      <c r="C17" s="10">
        <v>2169</v>
      </c>
      <c r="D17" s="10" t="s">
        <v>16</v>
      </c>
      <c r="E17" s="2">
        <v>1</v>
      </c>
      <c r="F17" s="2">
        <v>0.47</v>
      </c>
      <c r="G17" s="10">
        <f>AVERAGE(F17:F20)</f>
        <v>0.45749999999999996</v>
      </c>
      <c r="H17" s="10" t="s">
        <v>11</v>
      </c>
    </row>
    <row r="18" spans="1:8" x14ac:dyDescent="0.2">
      <c r="A18" s="2">
        <v>14</v>
      </c>
      <c r="B18" s="11"/>
      <c r="C18" s="11"/>
      <c r="D18" s="11"/>
      <c r="E18" s="2">
        <v>2</v>
      </c>
      <c r="F18" s="2">
        <v>0.41</v>
      </c>
      <c r="G18" s="11"/>
      <c r="H18" s="11"/>
    </row>
    <row r="19" spans="1:8" x14ac:dyDescent="0.2">
      <c r="A19" s="2">
        <v>15</v>
      </c>
      <c r="B19" s="11"/>
      <c r="C19" s="11"/>
      <c r="D19" s="11"/>
      <c r="E19" s="2">
        <v>3</v>
      </c>
      <c r="F19" s="2">
        <v>0.49</v>
      </c>
      <c r="G19" s="11"/>
      <c r="H19" s="11"/>
    </row>
    <row r="20" spans="1:8" x14ac:dyDescent="0.2">
      <c r="A20" s="2">
        <v>16</v>
      </c>
      <c r="B20" s="12"/>
      <c r="C20" s="12"/>
      <c r="D20" s="12"/>
      <c r="E20" s="2">
        <v>4</v>
      </c>
      <c r="F20" s="2">
        <v>0.46</v>
      </c>
      <c r="G20" s="12"/>
      <c r="H20" s="12"/>
    </row>
    <row r="21" spans="1:8" x14ac:dyDescent="0.2">
      <c r="A21" s="2">
        <v>17</v>
      </c>
      <c r="B21" s="10" t="s">
        <v>15</v>
      </c>
      <c r="C21" s="10">
        <v>2169</v>
      </c>
      <c r="D21" s="10" t="s">
        <v>17</v>
      </c>
      <c r="E21" s="2">
        <v>1</v>
      </c>
      <c r="F21" s="2">
        <v>0.46</v>
      </c>
      <c r="G21" s="10">
        <f>AVERAGE(F21:F24)</f>
        <v>0.4375</v>
      </c>
      <c r="H21" s="10" t="s">
        <v>11</v>
      </c>
    </row>
    <row r="22" spans="1:8" x14ac:dyDescent="0.2">
      <c r="A22" s="2">
        <v>18</v>
      </c>
      <c r="B22" s="11"/>
      <c r="C22" s="11"/>
      <c r="D22" s="11"/>
      <c r="E22" s="2">
        <v>2</v>
      </c>
      <c r="F22" s="2">
        <v>0.41</v>
      </c>
      <c r="G22" s="11"/>
      <c r="H22" s="11"/>
    </row>
    <row r="23" spans="1:8" x14ac:dyDescent="0.2">
      <c r="A23" s="2">
        <v>19</v>
      </c>
      <c r="B23" s="11"/>
      <c r="C23" s="11"/>
      <c r="D23" s="11"/>
      <c r="E23" s="2">
        <v>3</v>
      </c>
      <c r="F23" s="2">
        <v>0.45</v>
      </c>
      <c r="G23" s="11"/>
      <c r="H23" s="11"/>
    </row>
    <row r="24" spans="1:8" x14ac:dyDescent="0.2">
      <c r="A24" s="2">
        <v>20</v>
      </c>
      <c r="B24" s="12"/>
      <c r="C24" s="12"/>
      <c r="D24" s="12"/>
      <c r="E24" s="2">
        <v>4</v>
      </c>
      <c r="F24" s="2">
        <v>0.43</v>
      </c>
      <c r="G24" s="12"/>
      <c r="H24" s="12"/>
    </row>
    <row r="25" spans="1:8" x14ac:dyDescent="0.2">
      <c r="A25" s="2">
        <v>21</v>
      </c>
      <c r="B25" s="10" t="s">
        <v>12</v>
      </c>
      <c r="C25" s="10">
        <v>2142</v>
      </c>
      <c r="D25" s="10" t="s">
        <v>18</v>
      </c>
      <c r="E25" s="2">
        <v>1</v>
      </c>
      <c r="F25" s="2">
        <v>0.45</v>
      </c>
      <c r="G25" s="10">
        <f>AVERAGE(F25:F28)</f>
        <v>0.45249999999999996</v>
      </c>
      <c r="H25" s="10" t="s">
        <v>11</v>
      </c>
    </row>
    <row r="26" spans="1:8" x14ac:dyDescent="0.2">
      <c r="A26" s="2">
        <v>22</v>
      </c>
      <c r="B26" s="11"/>
      <c r="C26" s="11"/>
      <c r="D26" s="11"/>
      <c r="E26" s="2">
        <v>2</v>
      </c>
      <c r="F26" s="2">
        <v>0.45</v>
      </c>
      <c r="G26" s="11"/>
      <c r="H26" s="11"/>
    </row>
    <row r="27" spans="1:8" x14ac:dyDescent="0.2">
      <c r="A27" s="2">
        <v>23</v>
      </c>
      <c r="B27" s="11"/>
      <c r="C27" s="11"/>
      <c r="D27" s="11"/>
      <c r="E27" s="2">
        <v>3</v>
      </c>
      <c r="F27" s="2">
        <v>0.48</v>
      </c>
      <c r="G27" s="11"/>
      <c r="H27" s="11"/>
    </row>
    <row r="28" spans="1:8" x14ac:dyDescent="0.2">
      <c r="A28" s="2">
        <v>24</v>
      </c>
      <c r="B28" s="12"/>
      <c r="C28" s="12"/>
      <c r="D28" s="12"/>
      <c r="E28" s="2">
        <v>4</v>
      </c>
      <c r="F28" s="2">
        <v>0.43</v>
      </c>
      <c r="G28" s="12"/>
      <c r="H28" s="12"/>
    </row>
    <row r="29" spans="1:8" x14ac:dyDescent="0.2">
      <c r="A29" s="2">
        <v>25</v>
      </c>
      <c r="B29" s="10" t="s">
        <v>12</v>
      </c>
      <c r="C29" s="10">
        <v>2142</v>
      </c>
      <c r="D29" s="10" t="s">
        <v>19</v>
      </c>
      <c r="E29" s="2">
        <v>1</v>
      </c>
      <c r="F29" s="2">
        <v>0.45</v>
      </c>
      <c r="G29" s="10">
        <f>AVERAGE(F29:F32)</f>
        <v>0.44249999999999995</v>
      </c>
      <c r="H29" s="10" t="s">
        <v>11</v>
      </c>
    </row>
    <row r="30" spans="1:8" x14ac:dyDescent="0.2">
      <c r="A30" s="2">
        <v>26</v>
      </c>
      <c r="B30" s="11"/>
      <c r="C30" s="11"/>
      <c r="D30" s="11"/>
      <c r="E30" s="2">
        <v>2</v>
      </c>
      <c r="F30" s="2">
        <v>0.48</v>
      </c>
      <c r="G30" s="11"/>
      <c r="H30" s="11"/>
    </row>
    <row r="31" spans="1:8" x14ac:dyDescent="0.2">
      <c r="A31" s="2">
        <v>27</v>
      </c>
      <c r="B31" s="11"/>
      <c r="C31" s="11"/>
      <c r="D31" s="11"/>
      <c r="E31" s="2">
        <v>3</v>
      </c>
      <c r="F31" s="2">
        <v>0.41</v>
      </c>
      <c r="G31" s="11"/>
      <c r="H31" s="11"/>
    </row>
    <row r="32" spans="1:8" x14ac:dyDescent="0.2">
      <c r="A32" s="2">
        <v>28</v>
      </c>
      <c r="B32" s="12"/>
      <c r="C32" s="12"/>
      <c r="D32" s="12"/>
      <c r="E32" s="2">
        <v>4</v>
      </c>
      <c r="F32" s="2">
        <v>0.43</v>
      </c>
      <c r="G32" s="12"/>
      <c r="H32" s="12"/>
    </row>
    <row r="33" spans="1:8" x14ac:dyDescent="0.2">
      <c r="A33" s="2">
        <v>29</v>
      </c>
      <c r="B33" s="10" t="s">
        <v>12</v>
      </c>
      <c r="C33" s="10">
        <v>2144</v>
      </c>
      <c r="D33" s="10" t="s">
        <v>20</v>
      </c>
      <c r="E33" s="2">
        <v>1</v>
      </c>
      <c r="F33" s="2">
        <v>0.4</v>
      </c>
      <c r="G33" s="10">
        <f>AVERAGE(F33:F36)</f>
        <v>0.435</v>
      </c>
      <c r="H33" s="10" t="s">
        <v>11</v>
      </c>
    </row>
    <row r="34" spans="1:8" x14ac:dyDescent="0.2">
      <c r="A34" s="2">
        <v>30</v>
      </c>
      <c r="B34" s="11"/>
      <c r="C34" s="11"/>
      <c r="D34" s="11"/>
      <c r="E34" s="2">
        <v>2</v>
      </c>
      <c r="F34" s="2">
        <v>0.42</v>
      </c>
      <c r="G34" s="11"/>
      <c r="H34" s="11"/>
    </row>
    <row r="35" spans="1:8" x14ac:dyDescent="0.2">
      <c r="A35" s="2">
        <v>31</v>
      </c>
      <c r="B35" s="11"/>
      <c r="C35" s="11"/>
      <c r="D35" s="11"/>
      <c r="E35" s="2">
        <v>3</v>
      </c>
      <c r="F35" s="2">
        <v>0.45</v>
      </c>
      <c r="G35" s="11"/>
      <c r="H35" s="11"/>
    </row>
    <row r="36" spans="1:8" x14ac:dyDescent="0.2">
      <c r="A36" s="2">
        <v>32</v>
      </c>
      <c r="B36" s="12"/>
      <c r="C36" s="12"/>
      <c r="D36" s="12"/>
      <c r="E36" s="2">
        <v>4</v>
      </c>
      <c r="F36" s="2">
        <v>0.47</v>
      </c>
      <c r="G36" s="12"/>
      <c r="H36" s="12"/>
    </row>
  </sheetData>
  <mergeCells count="41">
    <mergeCell ref="B5:B8"/>
    <mergeCell ref="D9:D12"/>
    <mergeCell ref="C33:C36"/>
    <mergeCell ref="C5:C8"/>
    <mergeCell ref="G17:G20"/>
    <mergeCell ref="C17:C20"/>
    <mergeCell ref="G33:G36"/>
    <mergeCell ref="B33:B36"/>
    <mergeCell ref="B21:B24"/>
    <mergeCell ref="C29:C32"/>
    <mergeCell ref="D21:D24"/>
    <mergeCell ref="H21:H24"/>
    <mergeCell ref="C25:C28"/>
    <mergeCell ref="C21:C24"/>
    <mergeCell ref="B29:B32"/>
    <mergeCell ref="G21:G24"/>
    <mergeCell ref="B25:B28"/>
    <mergeCell ref="D25:D28"/>
    <mergeCell ref="G29:G32"/>
    <mergeCell ref="H33:H36"/>
    <mergeCell ref="D29:D32"/>
    <mergeCell ref="H29:H32"/>
    <mergeCell ref="G25:G28"/>
    <mergeCell ref="D33:D36"/>
    <mergeCell ref="H25:H28"/>
    <mergeCell ref="A1:H1"/>
    <mergeCell ref="H9:H12"/>
    <mergeCell ref="C9:C12"/>
    <mergeCell ref="G13:G16"/>
    <mergeCell ref="B17:B20"/>
    <mergeCell ref="D17:D20"/>
    <mergeCell ref="H17:H20"/>
    <mergeCell ref="G5:G8"/>
    <mergeCell ref="B13:B16"/>
    <mergeCell ref="D13:D16"/>
    <mergeCell ref="B9:B12"/>
    <mergeCell ref="H13:H16"/>
    <mergeCell ref="H5:H8"/>
    <mergeCell ref="D5:D8"/>
    <mergeCell ref="C13:C16"/>
    <mergeCell ref="G9:G1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2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6" customWidth="1"/>
    <col min="2" max="3" width="10" customWidth="1"/>
    <col min="4" max="4" width="30" customWidth="1"/>
    <col min="5" max="6" width="12" customWidth="1"/>
  </cols>
  <sheetData>
    <row r="4" spans="1:6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7</v>
      </c>
      <c r="F4" s="1" t="s">
        <v>8</v>
      </c>
    </row>
    <row r="5" spans="1:6" ht="32" x14ac:dyDescent="0.2">
      <c r="A5" s="2">
        <v>1</v>
      </c>
      <c r="B5" s="2" t="s">
        <v>9</v>
      </c>
      <c r="C5" s="2">
        <v>2142</v>
      </c>
      <c r="D5" s="2" t="s">
        <v>10</v>
      </c>
      <c r="E5" s="2">
        <v>0.45250000000000001</v>
      </c>
      <c r="F5" s="2" t="s">
        <v>11</v>
      </c>
    </row>
    <row r="6" spans="1:6" ht="32" x14ac:dyDescent="0.2">
      <c r="A6" s="2">
        <v>2</v>
      </c>
      <c r="B6" s="2" t="s">
        <v>12</v>
      </c>
      <c r="C6" s="2">
        <v>2144</v>
      </c>
      <c r="D6" s="2" t="s">
        <v>13</v>
      </c>
      <c r="E6" s="2">
        <v>0.46250000000000002</v>
      </c>
      <c r="F6" s="2" t="s">
        <v>11</v>
      </c>
    </row>
    <row r="7" spans="1:6" ht="32" x14ac:dyDescent="0.2">
      <c r="A7" s="2">
        <v>3</v>
      </c>
      <c r="B7" s="2" t="s">
        <v>12</v>
      </c>
      <c r="C7" s="2">
        <v>2165</v>
      </c>
      <c r="D7" s="2" t="s">
        <v>14</v>
      </c>
      <c r="E7" s="2">
        <v>0.44</v>
      </c>
      <c r="F7" s="2" t="s">
        <v>11</v>
      </c>
    </row>
    <row r="8" spans="1:6" ht="32" x14ac:dyDescent="0.2">
      <c r="A8" s="2">
        <v>4</v>
      </c>
      <c r="B8" s="2" t="s">
        <v>15</v>
      </c>
      <c r="C8" s="2">
        <v>2169</v>
      </c>
      <c r="D8" s="2" t="s">
        <v>16</v>
      </c>
      <c r="E8" s="2">
        <v>0.45750000000000002</v>
      </c>
      <c r="F8" s="2" t="s">
        <v>11</v>
      </c>
    </row>
    <row r="9" spans="1:6" ht="32" x14ac:dyDescent="0.2">
      <c r="A9" s="2">
        <v>5</v>
      </c>
      <c r="B9" s="2" t="s">
        <v>15</v>
      </c>
      <c r="C9" s="2">
        <v>2169</v>
      </c>
      <c r="D9" s="2" t="s">
        <v>17</v>
      </c>
      <c r="E9" s="2">
        <v>0.4375</v>
      </c>
      <c r="F9" s="2" t="s">
        <v>11</v>
      </c>
    </row>
    <row r="10" spans="1:6" ht="32" x14ac:dyDescent="0.2">
      <c r="A10" s="2">
        <v>6</v>
      </c>
      <c r="B10" s="2" t="s">
        <v>12</v>
      </c>
      <c r="C10" s="2">
        <v>2142</v>
      </c>
      <c r="D10" s="2" t="s">
        <v>18</v>
      </c>
      <c r="E10" s="2">
        <v>0.45250000000000001</v>
      </c>
      <c r="F10" s="2" t="s">
        <v>11</v>
      </c>
    </row>
    <row r="11" spans="1:6" ht="32" x14ac:dyDescent="0.2">
      <c r="A11" s="2">
        <v>7</v>
      </c>
      <c r="B11" s="2" t="s">
        <v>12</v>
      </c>
      <c r="C11" s="2">
        <v>2142</v>
      </c>
      <c r="D11" s="2" t="s">
        <v>19</v>
      </c>
      <c r="E11" s="2">
        <v>0.4425</v>
      </c>
      <c r="F11" s="2" t="s">
        <v>11</v>
      </c>
    </row>
    <row r="12" spans="1:6" ht="32" x14ac:dyDescent="0.2">
      <c r="A12" s="2">
        <v>8</v>
      </c>
      <c r="B12" s="2" t="s">
        <v>12</v>
      </c>
      <c r="C12" s="2">
        <v>2144</v>
      </c>
      <c r="D12" s="2" t="s">
        <v>20</v>
      </c>
      <c r="E12" s="2">
        <v>0.435</v>
      </c>
      <c r="F12" s="2" t="s">
        <v>11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tabSelected="1" topLeftCell="D17" zoomScale="115" zoomScaleNormal="115" workbookViewId="0">
      <selection activeCell="E36" sqref="E36:R37"/>
    </sheetView>
  </sheetViews>
  <sheetFormatPr baseColWidth="10" defaultColWidth="8.83203125" defaultRowHeight="15" x14ac:dyDescent="0.2"/>
  <cols>
    <col min="1" max="1" width="43.5" bestFit="1" customWidth="1"/>
    <col min="2" max="2" width="15.5" bestFit="1" customWidth="1"/>
    <col min="3" max="3" width="10.83203125" bestFit="1" customWidth="1"/>
    <col min="4" max="4" width="18.33203125" customWidth="1"/>
  </cols>
  <sheetData>
    <row r="1" spans="1:3" x14ac:dyDescent="0.2">
      <c r="A1" s="7" t="s">
        <v>21</v>
      </c>
      <c r="B1" s="7" t="s">
        <v>22</v>
      </c>
    </row>
    <row r="2" spans="1:3" x14ac:dyDescent="0.2">
      <c r="A2" s="7" t="s">
        <v>23</v>
      </c>
      <c r="B2" t="s">
        <v>11</v>
      </c>
      <c r="C2" t="s">
        <v>24</v>
      </c>
    </row>
    <row r="3" spans="1:3" x14ac:dyDescent="0.2">
      <c r="A3" s="3" t="s">
        <v>10</v>
      </c>
      <c r="B3" s="4">
        <v>0.45250000000000001</v>
      </c>
      <c r="C3" s="4">
        <v>0.45250000000000001</v>
      </c>
    </row>
    <row r="4" spans="1:3" x14ac:dyDescent="0.2">
      <c r="A4" s="5">
        <v>2142</v>
      </c>
      <c r="B4" s="4">
        <v>0.45250000000000001</v>
      </c>
      <c r="C4" s="4">
        <v>0.45250000000000001</v>
      </c>
    </row>
    <row r="5" spans="1:3" x14ac:dyDescent="0.2">
      <c r="A5" s="6" t="s">
        <v>9</v>
      </c>
      <c r="B5" s="4">
        <v>0.45250000000000001</v>
      </c>
      <c r="C5" s="4">
        <v>0.45250000000000001</v>
      </c>
    </row>
    <row r="6" spans="1:3" x14ac:dyDescent="0.2">
      <c r="A6" s="3" t="s">
        <v>13</v>
      </c>
      <c r="B6" s="4">
        <v>0.46250000000000002</v>
      </c>
      <c r="C6" s="4">
        <v>0.46250000000000002</v>
      </c>
    </row>
    <row r="7" spans="1:3" x14ac:dyDescent="0.2">
      <c r="A7" s="5">
        <v>2144</v>
      </c>
      <c r="B7" s="4">
        <v>0.46250000000000002</v>
      </c>
      <c r="C7" s="4">
        <v>0.46250000000000002</v>
      </c>
    </row>
    <row r="8" spans="1:3" x14ac:dyDescent="0.2">
      <c r="A8" s="6" t="s">
        <v>12</v>
      </c>
      <c r="B8" s="4">
        <v>0.46250000000000002</v>
      </c>
      <c r="C8" s="4">
        <v>0.46250000000000002</v>
      </c>
    </row>
    <row r="9" spans="1:3" x14ac:dyDescent="0.2">
      <c r="A9" s="3" t="s">
        <v>14</v>
      </c>
      <c r="B9" s="4">
        <v>0.44</v>
      </c>
      <c r="C9" s="4">
        <v>0.44</v>
      </c>
    </row>
    <row r="10" spans="1:3" x14ac:dyDescent="0.2">
      <c r="A10" s="5">
        <v>2165</v>
      </c>
      <c r="B10" s="4">
        <v>0.44</v>
      </c>
      <c r="C10" s="4">
        <v>0.44</v>
      </c>
    </row>
    <row r="11" spans="1:3" x14ac:dyDescent="0.2">
      <c r="A11" s="6" t="s">
        <v>12</v>
      </c>
      <c r="B11" s="4">
        <v>0.44</v>
      </c>
      <c r="C11" s="4">
        <v>0.44</v>
      </c>
    </row>
    <row r="12" spans="1:3" x14ac:dyDescent="0.2">
      <c r="A12" s="3" t="s">
        <v>16</v>
      </c>
      <c r="B12" s="4">
        <v>0.45750000000000002</v>
      </c>
      <c r="C12" s="4">
        <v>0.45750000000000002</v>
      </c>
    </row>
    <row r="13" spans="1:3" x14ac:dyDescent="0.2">
      <c r="A13" s="5">
        <v>2169</v>
      </c>
      <c r="B13" s="4">
        <v>0.45750000000000002</v>
      </c>
      <c r="C13" s="4">
        <v>0.45750000000000002</v>
      </c>
    </row>
    <row r="14" spans="1:3" x14ac:dyDescent="0.2">
      <c r="A14" s="6" t="s">
        <v>15</v>
      </c>
      <c r="B14" s="4">
        <v>0.45750000000000002</v>
      </c>
      <c r="C14" s="4">
        <v>0.45750000000000002</v>
      </c>
    </row>
    <row r="15" spans="1:3" x14ac:dyDescent="0.2">
      <c r="A15" s="3" t="s">
        <v>17</v>
      </c>
      <c r="B15" s="4">
        <v>0.4375</v>
      </c>
      <c r="C15" s="4">
        <v>0.4375</v>
      </c>
    </row>
    <row r="16" spans="1:3" x14ac:dyDescent="0.2">
      <c r="A16" s="5">
        <v>2169</v>
      </c>
      <c r="B16" s="4">
        <v>0.4375</v>
      </c>
      <c r="C16" s="4">
        <v>0.4375</v>
      </c>
    </row>
    <row r="17" spans="1:3" x14ac:dyDescent="0.2">
      <c r="A17" s="6" t="s">
        <v>15</v>
      </c>
      <c r="B17" s="4">
        <v>0.4375</v>
      </c>
      <c r="C17" s="4">
        <v>0.4375</v>
      </c>
    </row>
    <row r="18" spans="1:3" x14ac:dyDescent="0.2">
      <c r="A18" s="3" t="s">
        <v>18</v>
      </c>
      <c r="B18" s="4">
        <v>0.45250000000000001</v>
      </c>
      <c r="C18" s="4">
        <v>0.45250000000000001</v>
      </c>
    </row>
    <row r="19" spans="1:3" x14ac:dyDescent="0.2">
      <c r="A19" s="5">
        <v>2142</v>
      </c>
      <c r="B19" s="4">
        <v>0.45250000000000001</v>
      </c>
      <c r="C19" s="4">
        <v>0.45250000000000001</v>
      </c>
    </row>
    <row r="20" spans="1:3" x14ac:dyDescent="0.2">
      <c r="A20" s="6" t="s">
        <v>12</v>
      </c>
      <c r="B20" s="4">
        <v>0.45250000000000001</v>
      </c>
      <c r="C20" s="4">
        <v>0.45250000000000001</v>
      </c>
    </row>
    <row r="21" spans="1:3" x14ac:dyDescent="0.2">
      <c r="A21" s="3" t="s">
        <v>19</v>
      </c>
      <c r="B21" s="4">
        <v>0.4425</v>
      </c>
      <c r="C21" s="4">
        <v>0.4425</v>
      </c>
    </row>
    <row r="22" spans="1:3" x14ac:dyDescent="0.2">
      <c r="A22" s="5">
        <v>2142</v>
      </c>
      <c r="B22" s="4">
        <v>0.4425</v>
      </c>
      <c r="C22" s="4">
        <v>0.4425</v>
      </c>
    </row>
    <row r="23" spans="1:3" x14ac:dyDescent="0.2">
      <c r="A23" s="6" t="s">
        <v>12</v>
      </c>
      <c r="B23" s="4">
        <v>0.4425</v>
      </c>
      <c r="C23" s="4">
        <v>0.4425</v>
      </c>
    </row>
    <row r="24" spans="1:3" x14ac:dyDescent="0.2">
      <c r="A24" s="3" t="s">
        <v>20</v>
      </c>
      <c r="B24" s="4">
        <v>0.435</v>
      </c>
      <c r="C24" s="4">
        <v>0.435</v>
      </c>
    </row>
    <row r="25" spans="1:3" x14ac:dyDescent="0.2">
      <c r="A25" s="5">
        <v>2144</v>
      </c>
      <c r="B25" s="4">
        <v>0.435</v>
      </c>
      <c r="C25" s="4">
        <v>0.435</v>
      </c>
    </row>
    <row r="26" spans="1:3" x14ac:dyDescent="0.2">
      <c r="A26" s="6" t="s">
        <v>12</v>
      </c>
      <c r="B26" s="4">
        <v>0.435</v>
      </c>
      <c r="C26" s="4">
        <v>0.435</v>
      </c>
    </row>
    <row r="27" spans="1:3" x14ac:dyDescent="0.2">
      <c r="A27" s="3" t="s">
        <v>24</v>
      </c>
      <c r="B27" s="4">
        <v>3.58</v>
      </c>
      <c r="C27" s="4">
        <v>3.58</v>
      </c>
    </row>
    <row r="36" spans="5:18" x14ac:dyDescent="0.2">
      <c r="E36" s="13" t="s">
        <v>25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5:18" x14ac:dyDescent="0.2">
      <c r="E37" s="13" t="s">
        <v>26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</sheetData>
  <mergeCells count="2">
    <mergeCell ref="E36:R36"/>
    <mergeCell ref="E37:R37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2026-05-03T23:55:01Z</dcterms:created>
  <dcterms:modified xsi:type="dcterms:W3CDTF">2026-06-06T07:08:40Z</dcterms:modified>
</cp:coreProperties>
</file>