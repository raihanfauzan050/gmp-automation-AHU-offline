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hidePivotFieldList="1"/>
  <mc:AlternateContent xmlns:mc="http://schemas.openxmlformats.org/markup-compatibility/2006">
    <mc:Choice Requires="x15">
      <x15ac:absPath xmlns:x15ac="http://schemas.microsoft.com/office/spreadsheetml/2010/11/ac" url="/Users/irfanqobus/Desktop/joki-projek/gmp_automation/boilerplate/"/>
    </mc:Choice>
  </mc:AlternateContent>
  <xr:revisionPtr revIDLastSave="0" documentId="13_ncr:1_{F425D64F-C959-EE42-8345-7F9F17715C9E}" xr6:coauthVersionLast="47" xr6:coauthVersionMax="47" xr10:uidLastSave="{00000000-0000-0000-0000-000000000000}"/>
  <bookViews>
    <workbookView xWindow="0" yWindow="660" windowWidth="29400" windowHeight="18460" activeTab="3" xr2:uid="{00000000-000D-0000-FFFF-FFFF00000000}"/>
  </bookViews>
  <sheets>
    <sheet name="AHU-33 Data" sheetId="1" r:id="rId1"/>
    <sheet name="AHU-33 Table" sheetId="2" r:id="rId2"/>
    <sheet name="AHU-33 0.5" sheetId="3" r:id="rId3"/>
    <sheet name="AHU-33 5.0" sheetId="4" r:id="rId4"/>
  </sheets>
  <calcPr calcId="191029"/>
  <pivotCaches>
    <pivotCache cacheId="1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1" l="1"/>
  <c r="G37" i="1"/>
  <c r="I35" i="1"/>
  <c r="G35" i="1"/>
  <c r="I33" i="1"/>
  <c r="G33" i="1"/>
  <c r="I31" i="1"/>
  <c r="G31" i="1"/>
  <c r="I29" i="1"/>
  <c r="G29" i="1"/>
  <c r="I27" i="1"/>
  <c r="G27" i="1"/>
  <c r="I26" i="1"/>
  <c r="G26" i="1"/>
  <c r="I23" i="1"/>
  <c r="G23" i="1"/>
  <c r="I21" i="1"/>
  <c r="G21" i="1"/>
  <c r="I15" i="1"/>
  <c r="G15" i="1"/>
  <c r="I9" i="1"/>
  <c r="G9" i="1"/>
</calcChain>
</file>

<file path=xl/sharedStrings.xml><?xml version="1.0" encoding="utf-8"?>
<sst xmlns="http://schemas.openxmlformats.org/spreadsheetml/2006/main" count="138" uniqueCount="35">
  <si>
    <t>부유입자 측정 기록서</t>
  </si>
  <si>
    <t>NO</t>
  </si>
  <si>
    <t>청정 등급</t>
  </si>
  <si>
    <t>실번호</t>
  </si>
  <si>
    <t>실명</t>
  </si>
  <si>
    <t>측정번호</t>
  </si>
  <si>
    <t>측정값</t>
  </si>
  <si>
    <t>측정일자</t>
  </si>
  <si>
    <t>0.5 µm</t>
  </si>
  <si>
    <t>Average 0.5㎛</t>
  </si>
  <si>
    <t>5.0 µm</t>
  </si>
  <si>
    <t>Average 5.0㎛</t>
  </si>
  <si>
    <t>B</t>
  </si>
  <si>
    <t>무균 실험실</t>
  </si>
  <si>
    <t>2025 (하)</t>
  </si>
  <si>
    <t>D</t>
  </si>
  <si>
    <t>균주접종실</t>
  </si>
  <si>
    <t>C</t>
  </si>
  <si>
    <t>탈의실</t>
  </si>
  <si>
    <t>복도</t>
  </si>
  <si>
    <t>PASS BOX(QHA-745)</t>
  </si>
  <si>
    <t>PASS BOX(QHA-744)</t>
  </si>
  <si>
    <t>PASS BOX(QHA-743)</t>
  </si>
  <si>
    <t>PASS BOX(QHA-742)</t>
  </si>
  <si>
    <t>A</t>
  </si>
  <si>
    <t>무균시험실 BSC</t>
  </si>
  <si>
    <t>균주접종실 BSC</t>
  </si>
  <si>
    <t>Sum of Average 0.5㎛</t>
  </si>
  <si>
    <t>Sum of Average 5.0㎛</t>
  </si>
  <si>
    <t>참고: 위 피벗 차트에서 특정 등급의 제한선이 표시되지 않는 경우, 해당 등급의 모든 측정 결과가 아직 기준을 만족하고 있음을 의미합니다.</t>
  </si>
  <si>
    <t>해당 등급의 제한선은 제한값이 매우 높아 위 피벗 차트에 표시 가능한 범위를 초과하므로 나타나지 않습니다.</t>
  </si>
  <si>
    <t>``</t>
    <phoneticPr fontId="4" type="noConversion"/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</si>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</sst>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9999"/>
        <bgColor rgb="FFFF999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3" fillId="0" borderId="1" xfId="0" applyFont="1" applyBorder="1" applyAlignment="1">
      <alignment horizontal="center" vertical="center" wrapText="1"/>
    </xf>
    <xf numFmtId="0" fontId="0" fillId="0" borderId="4" xfId="0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[Airborne Particle Test Result and Graph (1).xlsx]AHU-33 0.5!PivotTable1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3200" b="1"/>
              <a:t>AHU-33 0.5㎛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'AHU-33 0.5'!$B$1:$B$2</c:f>
              <c:strCache>
                <c:ptCount val="1"/>
                <c:pt idx="0">
                  <c:v>2025 (하)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'AHU-33 0.5'!$A$3:$A$35</c:f>
              <c:multiLvlStrCache>
                <c:ptCount val="11"/>
                <c:lvl>
                  <c:pt idx="0">
                    <c:v>D</c:v>
                  </c:pt>
                  <c:pt idx="1">
                    <c:v>B</c:v>
                  </c:pt>
                  <c:pt idx="2">
                    <c:v>B</c:v>
                  </c:pt>
                  <c:pt idx="3">
                    <c:v>A</c:v>
                  </c:pt>
                  <c:pt idx="4">
                    <c:v>D</c:v>
                  </c:pt>
                  <c:pt idx="5">
                    <c:v>D</c:v>
                  </c:pt>
                  <c:pt idx="6">
                    <c:v>C</c:v>
                  </c:pt>
                  <c:pt idx="7">
                    <c:v>B</c:v>
                  </c:pt>
                  <c:pt idx="8">
                    <c:v>B</c:v>
                  </c:pt>
                  <c:pt idx="9">
                    <c:v>D</c:v>
                  </c:pt>
                  <c:pt idx="10">
                    <c:v>D</c:v>
                  </c:pt>
                </c:lvl>
                <c:lvl>
                  <c:pt idx="0">
                    <c:v>2165</c:v>
                  </c:pt>
                  <c:pt idx="1">
                    <c:v>2165</c:v>
                  </c:pt>
                  <c:pt idx="2">
                    <c:v>2142</c:v>
                  </c:pt>
                  <c:pt idx="3">
                    <c:v>2142</c:v>
                  </c:pt>
                  <c:pt idx="4">
                    <c:v>2169</c:v>
                  </c:pt>
                  <c:pt idx="5">
                    <c:v>2145</c:v>
                  </c:pt>
                  <c:pt idx="6">
                    <c:v>2147</c:v>
                  </c:pt>
                  <c:pt idx="7">
                    <c:v>2142</c:v>
                  </c:pt>
                  <c:pt idx="8">
                    <c:v>2142</c:v>
                  </c:pt>
                  <c:pt idx="9">
                    <c:v>2169</c:v>
                  </c:pt>
                  <c:pt idx="10">
                    <c:v>2169</c:v>
                  </c:pt>
                </c:lvl>
                <c:lvl>
                  <c:pt idx="0">
                    <c:v>균주접종실</c:v>
                  </c:pt>
                  <c:pt idx="1">
                    <c:v>균주접종실 BSC</c:v>
                  </c:pt>
                  <c:pt idx="2">
                    <c:v>무균 실험실</c:v>
                  </c:pt>
                  <c:pt idx="3">
                    <c:v>무균시험실 BSC</c:v>
                  </c:pt>
                  <c:pt idx="4">
                    <c:v>복도</c:v>
                  </c:pt>
                  <c:pt idx="5">
                    <c:v>탈의실</c:v>
                  </c:pt>
                  <c:pt idx="7">
                    <c:v>PASS BOX(QHA-745)</c:v>
                  </c:pt>
                  <c:pt idx="8">
                    <c:v>PASS BOX(QHA-744)</c:v>
                  </c:pt>
                  <c:pt idx="9">
                    <c:v>PASS BOX(QHA-743)</c:v>
                  </c:pt>
                  <c:pt idx="10">
                    <c:v>PASS BOX(QHA-742)</c:v>
                  </c:pt>
                </c:lvl>
              </c:multiLvlStrCache>
            </c:multiLvlStrRef>
          </c:cat>
          <c:val>
            <c:numRef>
              <c:f>'AHU-33 0.5'!$B$3:$B$35</c:f>
              <c:numCache>
                <c:formatCode>General</c:formatCode>
                <c:ptCount val="11"/>
                <c:pt idx="0">
                  <c:v>1990</c:v>
                </c:pt>
                <c:pt idx="1">
                  <c:v>2</c:v>
                </c:pt>
                <c:pt idx="2">
                  <c:v>299</c:v>
                </c:pt>
                <c:pt idx="3">
                  <c:v>2</c:v>
                </c:pt>
                <c:pt idx="4">
                  <c:v>6657</c:v>
                </c:pt>
                <c:pt idx="5">
                  <c:v>54260</c:v>
                </c:pt>
                <c:pt idx="6">
                  <c:v>24225</c:v>
                </c:pt>
                <c:pt idx="7">
                  <c:v>428</c:v>
                </c:pt>
                <c:pt idx="8">
                  <c:v>102</c:v>
                </c:pt>
                <c:pt idx="9">
                  <c:v>28320</c:v>
                </c:pt>
                <c:pt idx="10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0D-434E-BE20-73010041B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6492552"/>
        <c:axId val="766489736"/>
      </c:barChart>
      <c:catAx>
        <c:axId val="766492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6489736"/>
        <c:crosses val="autoZero"/>
        <c:auto val="1"/>
        <c:lblAlgn val="ctr"/>
        <c:lblOffset val="100"/>
        <c:noMultiLvlLbl val="0"/>
      </c:catAx>
      <c:valAx>
        <c:axId val="766489736"/>
        <c:scaling>
          <c:orientation val="minMax"/>
          <c:max val="54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6492552"/>
        <c:crosses val="autoZero"/>
        <c:crossBetween val="between"/>
      </c:valAx>
      <c:spPr>
        <a:ln w="12700"/>
      </c:spPr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[Airborne Particle Test Result and Graph (1).xlsx]AHU-33 5.0!PivotTable1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32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AHU-33 5.0㎛</a:t>
            </a:r>
            <a:endParaRPr lang="en-US" altLang="ko-KR" sz="3200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'AHU-33 5.0'!$B$1:$B$2</c:f>
              <c:strCache>
                <c:ptCount val="1"/>
                <c:pt idx="0">
                  <c:v>2025 (하)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'AHU-33 5.0'!$A$3:$A$25</c:f>
              <c:multiLvlStrCache>
                <c:ptCount val="11"/>
                <c:lvl>
                  <c:pt idx="0">
                    <c:v>무균시험실 BSC</c:v>
                  </c:pt>
                  <c:pt idx="1">
                    <c:v>무균 실험실</c:v>
                  </c:pt>
                  <c:pt idx="2">
                    <c:v>PASS BOX(QHA-745)</c:v>
                  </c:pt>
                  <c:pt idx="3">
                    <c:v>PASS BOX(QHA-744)</c:v>
                  </c:pt>
                  <c:pt idx="4">
                    <c:v>균주접종실 BSC</c:v>
                  </c:pt>
                  <c:pt idx="5">
                    <c:v>탈의실</c:v>
                  </c:pt>
                  <c:pt idx="6">
                    <c:v>탈의실</c:v>
                  </c:pt>
                  <c:pt idx="7">
                    <c:v>균주접종실</c:v>
                  </c:pt>
                  <c:pt idx="8">
                    <c:v>복도</c:v>
                  </c:pt>
                  <c:pt idx="9">
                    <c:v>PASS BOX(QHA-743)</c:v>
                  </c:pt>
                  <c:pt idx="10">
                    <c:v>PASS BOX(QHA-742)</c:v>
                  </c:pt>
                </c:lvl>
                <c:lvl>
                  <c:pt idx="0">
                    <c:v>2142</c:v>
                  </c:pt>
                  <c:pt idx="1">
                    <c:v>2142</c:v>
                  </c:pt>
                  <c:pt idx="4">
                    <c:v>2165</c:v>
                  </c:pt>
                  <c:pt idx="5">
                    <c:v>2147</c:v>
                  </c:pt>
                  <c:pt idx="6">
                    <c:v>2145</c:v>
                  </c:pt>
                  <c:pt idx="7">
                    <c:v>2165</c:v>
                  </c:pt>
                  <c:pt idx="8">
                    <c:v>2169</c:v>
                  </c:pt>
                </c:lvl>
                <c:lvl>
                  <c:pt idx="0">
                    <c:v>A</c:v>
                  </c:pt>
                  <c:pt idx="1">
                    <c:v>B</c:v>
                  </c:pt>
                  <c:pt idx="5">
                    <c:v>C</c:v>
                  </c:pt>
                  <c:pt idx="6">
                    <c:v>D</c:v>
                  </c:pt>
                </c:lvl>
              </c:multiLvlStrCache>
            </c:multiLvlStrRef>
          </c:cat>
          <c:val>
            <c:numRef>
              <c:f>'AHU-33 5.0'!$B$3:$B$25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945</c:v>
                </c:pt>
                <c:pt idx="6">
                  <c:v>1170</c:v>
                </c:pt>
                <c:pt idx="7">
                  <c:v>201.66666666666671</c:v>
                </c:pt>
                <c:pt idx="8">
                  <c:v>970</c:v>
                </c:pt>
                <c:pt idx="9">
                  <c:v>2600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1-4C7A-B931-CACE9B5C5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4634056"/>
        <c:axId val="294640040"/>
      </c:barChart>
      <c:catAx>
        <c:axId val="294634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4640040"/>
        <c:crosses val="autoZero"/>
        <c:auto val="1"/>
        <c:lblAlgn val="ctr"/>
        <c:lblOffset val="100"/>
        <c:noMultiLvlLbl val="0"/>
      </c:catAx>
      <c:valAx>
        <c:axId val="294640040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4634056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</xdr:row>
      <xdr:rowOff>9525</xdr:rowOff>
    </xdr:from>
    <xdr:to>
      <xdr:col>24</xdr:col>
      <xdr:colOff>11206</xdr:colOff>
      <xdr:row>46</xdr:row>
      <xdr:rowOff>86102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272589</xdr:colOff>
      <xdr:row>99</xdr:row>
      <xdr:rowOff>149171</xdr:rowOff>
    </xdr:from>
    <xdr:to>
      <xdr:col>88</xdr:col>
      <xdr:colOff>501415</xdr:colOff>
      <xdr:row>99</xdr:row>
      <xdr:rowOff>149171</xdr:rowOff>
    </xdr:to>
    <xdr:cxnSp macro="">
      <xdr:nvCxnSpPr>
        <xdr:cNvPr id="3" name="직선 연결선 8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18712989" y="18469828"/>
          <a:ext cx="36804826" cy="0"/>
        </a:xfrm>
        <a:prstGeom prst="line">
          <a:avLst/>
        </a:prstGeom>
        <a:ln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501869</xdr:colOff>
      <xdr:row>40</xdr:row>
      <xdr:rowOff>47352</xdr:rowOff>
    </xdr:from>
    <xdr:ext cx="1145627" cy="20380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5368752" y="7404593"/>
          <a:ext cx="1145627" cy="2038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900" b="1">
              <a:solidFill>
                <a:srgbClr val="FF0000"/>
              </a:solidFill>
            </a:rPr>
            <a:t>A Grade </a:t>
          </a:r>
          <a:r>
            <a:rPr lang="ko-KR" altLang="en-US" sz="900" b="1">
              <a:solidFill>
                <a:srgbClr val="FF0000"/>
              </a:solidFill>
            </a:rPr>
            <a:t>경고기준</a:t>
          </a:r>
          <a:r>
            <a:rPr lang="en-US" altLang="ko-KR" sz="900" b="1">
              <a:solidFill>
                <a:srgbClr val="FF0000"/>
              </a:solidFill>
            </a:rPr>
            <a:t>: 23</a:t>
          </a:r>
          <a:endParaRPr lang="ko-KR" altLang="en-US" sz="900" b="1">
            <a:solidFill>
              <a:srgbClr val="FF0000"/>
            </a:solidFill>
          </a:endParaRPr>
        </a:p>
      </xdr:txBody>
    </xdr:sp>
    <xdr:clientData/>
  </xdr:oneCellAnchor>
  <xdr:oneCellAnchor>
    <xdr:from>
      <xdr:col>22</xdr:col>
      <xdr:colOff>475233</xdr:colOff>
      <xdr:row>39</xdr:row>
      <xdr:rowOff>18376</xdr:rowOff>
    </xdr:from>
    <xdr:ext cx="1742587" cy="21598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15370519" y="7094090"/>
          <a:ext cx="1742587" cy="2159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900" b="1">
              <a:solidFill>
                <a:srgbClr val="C00000"/>
              </a:solidFill>
            </a:rPr>
            <a:t>A Grade</a:t>
          </a:r>
          <a:r>
            <a:rPr lang="en-US" altLang="ko-KR" sz="900" b="1" baseline="0">
              <a:solidFill>
                <a:srgbClr val="C00000"/>
              </a:solidFill>
            </a:rPr>
            <a:t> </a:t>
          </a:r>
          <a:r>
            <a:rPr lang="ko-KR" altLang="en-US" sz="900" b="1">
              <a:solidFill>
                <a:srgbClr val="C00000"/>
              </a:solidFill>
            </a:rPr>
            <a:t>조치기준</a:t>
          </a:r>
          <a:r>
            <a:rPr lang="en-US" altLang="ko-KR" sz="900" b="1">
              <a:solidFill>
                <a:srgbClr val="C00000"/>
              </a:solidFill>
            </a:rPr>
            <a:t>: 46</a:t>
          </a:r>
          <a:endParaRPr lang="ko-KR" altLang="en-US" sz="900" b="1">
            <a:solidFill>
              <a:srgbClr val="C00000"/>
            </a:solidFill>
          </a:endParaRPr>
        </a:p>
        <a:p>
          <a:endParaRPr lang="en-ID" sz="1100"/>
        </a:p>
      </xdr:txBody>
    </xdr:sp>
    <xdr:clientData/>
  </xdr:oneCellAnchor>
  <xdr:oneCellAnchor>
    <xdr:from>
      <xdr:col>22</xdr:col>
      <xdr:colOff>464706</xdr:colOff>
      <xdr:row>37</xdr:row>
      <xdr:rowOff>117944</xdr:rowOff>
    </xdr:from>
    <xdr:ext cx="1461593" cy="21855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15322473" y="6869905"/>
          <a:ext cx="1461593" cy="2185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900" b="1">
              <a:solidFill>
                <a:srgbClr val="FFC000"/>
              </a:solidFill>
            </a:rPr>
            <a:t>B Grade</a:t>
          </a:r>
          <a:r>
            <a:rPr lang="en-US" altLang="ko-KR" sz="900" b="1" baseline="0">
              <a:solidFill>
                <a:srgbClr val="FFC000"/>
              </a:solidFill>
            </a:rPr>
            <a:t> </a:t>
          </a:r>
          <a:r>
            <a:rPr lang="ko-KR" altLang="en-US" sz="900" b="1">
              <a:solidFill>
                <a:srgbClr val="FFC000"/>
              </a:solidFill>
            </a:rPr>
            <a:t>경고기준</a:t>
          </a:r>
          <a:r>
            <a:rPr lang="en-US" altLang="ko-KR" sz="900" b="1">
              <a:solidFill>
                <a:srgbClr val="FFC000"/>
              </a:solidFill>
            </a:rPr>
            <a:t>: 627</a:t>
          </a:r>
          <a:endParaRPr lang="ko-KR" altLang="en-US" sz="900" b="1">
            <a:solidFill>
              <a:srgbClr val="FFC000"/>
            </a:solidFill>
          </a:endParaRPr>
        </a:p>
      </xdr:txBody>
    </xdr:sp>
    <xdr:clientData/>
  </xdr:oneCellAnchor>
  <xdr:twoCellAnchor>
    <xdr:from>
      <xdr:col>4</xdr:col>
      <xdr:colOff>483810</xdr:colOff>
      <xdr:row>39</xdr:row>
      <xdr:rowOff>78619</xdr:rowOff>
    </xdr:from>
    <xdr:to>
      <xdr:col>22</xdr:col>
      <xdr:colOff>381000</xdr:colOff>
      <xdr:row>39</xdr:row>
      <xdr:rowOff>84667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>
          <a:off x="4384524" y="7154333"/>
          <a:ext cx="10891762" cy="6048"/>
        </a:xfrm>
        <a:prstGeom prst="line">
          <a:avLst/>
        </a:prstGeom>
        <a:ln w="31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495905</xdr:colOff>
      <xdr:row>39</xdr:row>
      <xdr:rowOff>12096</xdr:rowOff>
    </xdr:from>
    <xdr:to>
      <xdr:col>22</xdr:col>
      <xdr:colOff>374320</xdr:colOff>
      <xdr:row>39</xdr:row>
      <xdr:rowOff>19894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/>
      </xdr:nvCxnSpPr>
      <xdr:spPr>
        <a:xfrm>
          <a:off x="4396619" y="7087810"/>
          <a:ext cx="10872987" cy="7798"/>
        </a:xfrm>
        <a:prstGeom prst="line">
          <a:avLst/>
        </a:prstGeom>
        <a:ln w="3175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489857</xdr:colOff>
      <xdr:row>38</xdr:row>
      <xdr:rowOff>145143</xdr:rowOff>
    </xdr:from>
    <xdr:to>
      <xdr:col>22</xdr:col>
      <xdr:colOff>372369</xdr:colOff>
      <xdr:row>38</xdr:row>
      <xdr:rowOff>145494</xdr:rowOff>
    </xdr:to>
    <xdr:cxnSp macro="">
      <xdr:nvCxnSpPr>
        <xdr:cNvPr id="36" name="직선 연결선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4390571" y="7039429"/>
          <a:ext cx="10877084" cy="351"/>
        </a:xfrm>
        <a:prstGeom prst="line">
          <a:avLst/>
        </a:prstGeom>
        <a:ln w="3175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468048</xdr:colOff>
      <xdr:row>36</xdr:row>
      <xdr:rowOff>150300</xdr:rowOff>
    </xdr:from>
    <xdr:ext cx="1605559" cy="215984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/>
      </xdr:nvSpPr>
      <xdr:spPr>
        <a:xfrm>
          <a:off x="15363334" y="6681729"/>
          <a:ext cx="1605559" cy="2159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900" b="1">
              <a:solidFill>
                <a:schemeClr val="accent6"/>
              </a:solidFill>
            </a:rPr>
            <a:t>B Grade</a:t>
          </a:r>
          <a:r>
            <a:rPr lang="en-US" altLang="ko-KR" sz="900" b="1" baseline="0">
              <a:solidFill>
                <a:schemeClr val="accent6"/>
              </a:solidFill>
            </a:rPr>
            <a:t> </a:t>
          </a:r>
          <a:r>
            <a:rPr lang="ko-KR" altLang="en-US" sz="900" b="1">
              <a:solidFill>
                <a:schemeClr val="accent6"/>
              </a:solidFill>
            </a:rPr>
            <a:t>조치기준</a:t>
          </a:r>
          <a:r>
            <a:rPr lang="en-US" altLang="ko-KR" sz="900" b="1">
              <a:solidFill>
                <a:schemeClr val="accent6"/>
              </a:solidFill>
            </a:rPr>
            <a:t>: 1,254</a:t>
          </a:r>
          <a:endParaRPr lang="ko-KR" altLang="en-US" sz="900" b="1">
            <a:solidFill>
              <a:schemeClr val="accent6"/>
            </a:solidFill>
          </a:endParaRPr>
        </a:p>
        <a:p>
          <a:endParaRPr lang="en-ID" sz="1100"/>
        </a:p>
      </xdr:txBody>
    </xdr:sp>
    <xdr:clientData/>
  </xdr:oneCellAnchor>
  <xdr:twoCellAnchor>
    <xdr:from>
      <xdr:col>4</xdr:col>
      <xdr:colOff>466531</xdr:colOff>
      <xdr:row>25</xdr:row>
      <xdr:rowOff>54430</xdr:rowOff>
    </xdr:from>
    <xdr:to>
      <xdr:col>22</xdr:col>
      <xdr:colOff>443204</xdr:colOff>
      <xdr:row>25</xdr:row>
      <xdr:rowOff>69981</xdr:rowOff>
    </xdr:to>
    <xdr:cxnSp macro="">
      <xdr:nvCxnSpPr>
        <xdr:cNvPr id="43" name="직선 연결선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/>
      </xdr:nvCxnSpPr>
      <xdr:spPr>
        <a:xfrm>
          <a:off x="4634204" y="5497287"/>
          <a:ext cx="12013163" cy="15551"/>
        </a:xfrm>
        <a:prstGeom prst="line">
          <a:avLst/>
        </a:prstGeom>
        <a:ln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503311</xdr:colOff>
      <xdr:row>10</xdr:row>
      <xdr:rowOff>177800</xdr:rowOff>
    </xdr:from>
    <xdr:to>
      <xdr:col>22</xdr:col>
      <xdr:colOff>370840</xdr:colOff>
      <xdr:row>10</xdr:row>
      <xdr:rowOff>182587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CxnSpPr/>
      </xdr:nvCxnSpPr>
      <xdr:spPr>
        <a:xfrm flipV="1">
          <a:off x="4399671" y="2006600"/>
          <a:ext cx="10840329" cy="4787"/>
        </a:xfrm>
        <a:prstGeom prst="line">
          <a:avLst/>
        </a:prstGeom>
        <a:ln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507273</xdr:colOff>
      <xdr:row>25</xdr:row>
      <xdr:rowOff>181429</xdr:rowOff>
    </xdr:from>
    <xdr:ext cx="1423128" cy="218556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/>
      </xdr:nvSpPr>
      <xdr:spPr>
        <a:xfrm>
          <a:off x="15376433" y="4753429"/>
          <a:ext cx="1423128" cy="2185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900" b="1">
              <a:solidFill>
                <a:srgbClr val="92D050"/>
              </a:solidFill>
            </a:rPr>
            <a:t>C Grade</a:t>
          </a:r>
          <a:r>
            <a:rPr lang="en-US" altLang="ko-KR" sz="900" b="1" baseline="0">
              <a:solidFill>
                <a:srgbClr val="92D050"/>
              </a:solidFill>
            </a:rPr>
            <a:t> </a:t>
          </a:r>
          <a:r>
            <a:rPr lang="ko-KR" altLang="en-US" sz="900" b="1">
              <a:solidFill>
                <a:srgbClr val="92D050"/>
              </a:solidFill>
            </a:rPr>
            <a:t>경고기준</a:t>
          </a:r>
          <a:r>
            <a:rPr lang="en-US" altLang="ko-KR" sz="900" b="1">
              <a:solidFill>
                <a:srgbClr val="92D050"/>
              </a:solidFill>
            </a:rPr>
            <a:t>: 23,402</a:t>
          </a:r>
          <a:endParaRPr lang="ko-KR" altLang="en-US" sz="900" b="1">
            <a:solidFill>
              <a:srgbClr val="92D050"/>
            </a:solidFill>
          </a:endParaRPr>
        </a:p>
      </xdr:txBody>
    </xdr:sp>
    <xdr:clientData/>
  </xdr:oneCellAnchor>
  <xdr:oneCellAnchor>
    <xdr:from>
      <xdr:col>22</xdr:col>
      <xdr:colOff>546517</xdr:colOff>
      <xdr:row>9</xdr:row>
      <xdr:rowOff>11415</xdr:rowOff>
    </xdr:from>
    <xdr:ext cx="1429603" cy="215984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/>
      </xdr:nvSpPr>
      <xdr:spPr>
        <a:xfrm>
          <a:off x="15415677" y="1657335"/>
          <a:ext cx="1429603" cy="2159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900" b="1">
              <a:solidFill>
                <a:srgbClr val="00B050"/>
              </a:solidFill>
            </a:rPr>
            <a:t>C Grade</a:t>
          </a:r>
          <a:r>
            <a:rPr lang="en-US" altLang="ko-KR" sz="900" b="1" baseline="0">
              <a:solidFill>
                <a:srgbClr val="00B050"/>
              </a:solidFill>
            </a:rPr>
            <a:t> </a:t>
          </a:r>
          <a:r>
            <a:rPr lang="ko-KR" altLang="en-US" sz="900" b="1">
              <a:solidFill>
                <a:srgbClr val="00B050"/>
              </a:solidFill>
            </a:rPr>
            <a:t>조치기준</a:t>
          </a:r>
          <a:r>
            <a:rPr lang="en-US" altLang="ko-KR" sz="900" b="1">
              <a:solidFill>
                <a:srgbClr val="00B050"/>
              </a:solidFill>
            </a:rPr>
            <a:t>: 46,804</a:t>
          </a:r>
          <a:endParaRPr lang="en-ID" sz="900">
            <a:solidFill>
              <a:srgbClr val="00B050"/>
            </a:solidFill>
          </a:endParaRPr>
        </a:p>
      </xdr:txBody>
    </xdr:sp>
    <xdr:clientData/>
  </xdr:oneCellAnchor>
  <xdr:twoCellAnchor>
    <xdr:from>
      <xdr:col>22</xdr:col>
      <xdr:colOff>368905</xdr:colOff>
      <xdr:row>39</xdr:row>
      <xdr:rowOff>84667</xdr:rowOff>
    </xdr:from>
    <xdr:to>
      <xdr:col>22</xdr:col>
      <xdr:colOff>475233</xdr:colOff>
      <xdr:row>39</xdr:row>
      <xdr:rowOff>126368</xdr:rowOff>
    </xdr:to>
    <xdr:cxnSp macro="">
      <xdr:nvCxnSpPr>
        <xdr:cNvPr id="16" name="직선 연결선 7">
          <a:extLst>
            <a:ext uri="{FF2B5EF4-FFF2-40B4-BE49-F238E27FC236}">
              <a16:creationId xmlns:a16="http://schemas.microsoft.com/office/drawing/2014/main" id="{7FC2350E-39CC-4C38-BB25-2E7A25A6B15C}"/>
            </a:ext>
          </a:extLst>
        </xdr:cNvPr>
        <xdr:cNvCxnSpPr>
          <a:endCxn id="7" idx="1"/>
        </xdr:cNvCxnSpPr>
      </xdr:nvCxnSpPr>
      <xdr:spPr>
        <a:xfrm>
          <a:off x="15264191" y="7160381"/>
          <a:ext cx="106328" cy="41701"/>
        </a:xfrm>
        <a:prstGeom prst="line">
          <a:avLst/>
        </a:prstGeom>
        <a:ln w="31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362856</xdr:colOff>
      <xdr:row>37</xdr:row>
      <xdr:rowOff>175381</xdr:rowOff>
    </xdr:from>
    <xdr:to>
      <xdr:col>22</xdr:col>
      <xdr:colOff>562428</xdr:colOff>
      <xdr:row>38</xdr:row>
      <xdr:rowOff>145143</xdr:rowOff>
    </xdr:to>
    <xdr:cxnSp macro="">
      <xdr:nvCxnSpPr>
        <xdr:cNvPr id="21" name="직선 연결선 35">
          <a:extLst>
            <a:ext uri="{FF2B5EF4-FFF2-40B4-BE49-F238E27FC236}">
              <a16:creationId xmlns:a16="http://schemas.microsoft.com/office/drawing/2014/main" id="{D637C42E-30C6-4821-ACDD-477A6E85E330}"/>
            </a:ext>
          </a:extLst>
        </xdr:cNvPr>
        <xdr:cNvCxnSpPr/>
      </xdr:nvCxnSpPr>
      <xdr:spPr>
        <a:xfrm flipV="1">
          <a:off x="15258142" y="6888238"/>
          <a:ext cx="199572" cy="151191"/>
        </a:xfrm>
        <a:prstGeom prst="line">
          <a:avLst/>
        </a:prstGeom>
        <a:ln w="3175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356809</xdr:colOff>
      <xdr:row>38</xdr:row>
      <xdr:rowOff>151190</xdr:rowOff>
    </xdr:from>
    <xdr:to>
      <xdr:col>22</xdr:col>
      <xdr:colOff>538238</xdr:colOff>
      <xdr:row>39</xdr:row>
      <xdr:rowOff>24191</xdr:rowOff>
    </xdr:to>
    <xdr:cxnSp macro="">
      <xdr:nvCxnSpPr>
        <xdr:cNvPr id="27" name="직선 연결선 21">
          <a:extLst>
            <a:ext uri="{FF2B5EF4-FFF2-40B4-BE49-F238E27FC236}">
              <a16:creationId xmlns:a16="http://schemas.microsoft.com/office/drawing/2014/main" id="{DBA06FCD-A2DC-498A-9455-094CAAC9E5EF}"/>
            </a:ext>
          </a:extLst>
        </xdr:cNvPr>
        <xdr:cNvCxnSpPr/>
      </xdr:nvCxnSpPr>
      <xdr:spPr>
        <a:xfrm flipV="1">
          <a:off x="15252095" y="7045476"/>
          <a:ext cx="181429" cy="54429"/>
        </a:xfrm>
        <a:prstGeom prst="line">
          <a:avLst/>
        </a:prstGeom>
        <a:ln w="3175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400086</xdr:colOff>
      <xdr:row>39</xdr:row>
      <xdr:rowOff>150491</xdr:rowOff>
    </xdr:from>
    <xdr:to>
      <xdr:col>22</xdr:col>
      <xdr:colOff>501869</xdr:colOff>
      <xdr:row>40</xdr:row>
      <xdr:rowOff>149253</xdr:rowOff>
    </xdr:to>
    <xdr:cxnSp macro="">
      <xdr:nvCxnSpPr>
        <xdr:cNvPr id="32" name="직선 연결선 3">
          <a:extLst>
            <a:ext uri="{FF2B5EF4-FFF2-40B4-BE49-F238E27FC236}">
              <a16:creationId xmlns:a16="http://schemas.microsoft.com/office/drawing/2014/main" id="{D8710756-9C92-7007-635D-B5D25719CBF0}"/>
            </a:ext>
          </a:extLst>
        </xdr:cNvPr>
        <xdr:cNvCxnSpPr>
          <a:stCxn id="4" idx="1"/>
        </xdr:cNvCxnSpPr>
      </xdr:nvCxnSpPr>
      <xdr:spPr>
        <a:xfrm flipH="1" flipV="1">
          <a:off x="16844017" y="7594306"/>
          <a:ext cx="101783" cy="189629"/>
        </a:xfrm>
        <a:prstGeom prst="line">
          <a:avLst/>
        </a:prstGeom>
        <a:ln w="31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355600</xdr:colOff>
      <xdr:row>10</xdr:row>
      <xdr:rowOff>60960</xdr:rowOff>
    </xdr:from>
    <xdr:to>
      <xdr:col>23</xdr:col>
      <xdr:colOff>5080</xdr:colOff>
      <xdr:row>11</xdr:row>
      <xdr:rowOff>0</xdr:rowOff>
    </xdr:to>
    <xdr:cxnSp macro="">
      <xdr:nvCxnSpPr>
        <xdr:cNvPr id="44" name="직선 연결선 49">
          <a:extLst>
            <a:ext uri="{FF2B5EF4-FFF2-40B4-BE49-F238E27FC236}">
              <a16:creationId xmlns:a16="http://schemas.microsoft.com/office/drawing/2014/main" id="{FF59B26B-1A55-493F-8CA2-091D3E7DC1D3}"/>
            </a:ext>
          </a:extLst>
        </xdr:cNvPr>
        <xdr:cNvCxnSpPr/>
      </xdr:nvCxnSpPr>
      <xdr:spPr>
        <a:xfrm flipV="1">
          <a:off x="15224760" y="1889760"/>
          <a:ext cx="259080" cy="121920"/>
        </a:xfrm>
        <a:prstGeom prst="line">
          <a:avLst/>
        </a:prstGeom>
        <a:ln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433044</xdr:colOff>
      <xdr:row>25</xdr:row>
      <xdr:rowOff>66767</xdr:rowOff>
    </xdr:from>
    <xdr:to>
      <xdr:col>23</xdr:col>
      <xdr:colOff>76200</xdr:colOff>
      <xdr:row>26</xdr:row>
      <xdr:rowOff>40640</xdr:rowOff>
    </xdr:to>
    <xdr:cxnSp macro="">
      <xdr:nvCxnSpPr>
        <xdr:cNvPr id="49" name="직선 연결선 42">
          <a:extLst>
            <a:ext uri="{FF2B5EF4-FFF2-40B4-BE49-F238E27FC236}">
              <a16:creationId xmlns:a16="http://schemas.microsoft.com/office/drawing/2014/main" id="{0B1A0DAF-C320-41B0-AC44-2DB60FCAF963}"/>
            </a:ext>
          </a:extLst>
        </xdr:cNvPr>
        <xdr:cNvCxnSpPr/>
      </xdr:nvCxnSpPr>
      <xdr:spPr>
        <a:xfrm>
          <a:off x="15302204" y="4638767"/>
          <a:ext cx="252756" cy="156753"/>
        </a:xfrm>
        <a:prstGeom prst="line">
          <a:avLst/>
        </a:prstGeom>
        <a:ln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0.03856</cdr:x>
      <cdr:y>0.85319</cdr:y>
    </cdr:from>
    <cdr:to>
      <cdr:x>0.92973</cdr:x>
      <cdr:y>0.85397</cdr:y>
    </cdr:to>
    <cdr:cxnSp macro="">
      <cdr:nvCxnSpPr>
        <cdr:cNvPr id="4" name="직선 연결선 3">
          <a:extLst xmlns:a="http://schemas.openxmlformats.org/drawingml/2006/main">
            <a:ext uri="{FF2B5EF4-FFF2-40B4-BE49-F238E27FC236}">
              <a16:creationId xmlns:a16="http://schemas.microsoft.com/office/drawing/2014/main" id="{B62E4EB3-3D2D-0AD4-9B7B-AB1B95B12279}"/>
            </a:ext>
          </a:extLst>
        </cdr:cNvPr>
        <cdr:cNvCxnSpPr/>
      </cdr:nvCxnSpPr>
      <cdr:spPr>
        <a:xfrm xmlns:a="http://schemas.openxmlformats.org/drawingml/2006/main" flipV="1">
          <a:off x="522057" y="7650209"/>
          <a:ext cx="12065393" cy="6994"/>
        </a:xfrm>
        <a:prstGeom xmlns:a="http://schemas.openxmlformats.org/drawingml/2006/main" prst="line">
          <a:avLst/>
        </a:prstGeom>
        <a:ln xmlns:a="http://schemas.openxmlformats.org/drawingml/2006/main" w="3175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21043</xdr:colOff>
      <xdr:row>0</xdr:row>
      <xdr:rowOff>171180</xdr:rowOff>
    </xdr:from>
    <xdr:to>
      <xdr:col>26</xdr:col>
      <xdr:colOff>29535</xdr:colOff>
      <xdr:row>37</xdr:row>
      <xdr:rowOff>150898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24</xdr:col>
      <xdr:colOff>450340</xdr:colOff>
      <xdr:row>33</xdr:row>
      <xdr:rowOff>106795</xdr:rowOff>
    </xdr:from>
    <xdr:ext cx="1141998" cy="21855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8812019" y="6505268"/>
          <a:ext cx="1141998" cy="2185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900" b="1">
              <a:solidFill>
                <a:srgbClr val="FF0000"/>
              </a:solidFill>
            </a:rPr>
            <a:t>A Grade</a:t>
          </a:r>
          <a:r>
            <a:rPr lang="en-US" altLang="ko-KR" sz="900" b="1" baseline="0">
              <a:solidFill>
                <a:srgbClr val="FF0000"/>
              </a:solidFill>
            </a:rPr>
            <a:t> </a:t>
          </a:r>
          <a:r>
            <a:rPr lang="ko-KR" altLang="en-US" sz="900" b="1">
              <a:solidFill>
                <a:srgbClr val="FF0000"/>
              </a:solidFill>
            </a:rPr>
            <a:t>경고기준</a:t>
          </a:r>
          <a:r>
            <a:rPr lang="en-US" altLang="ko-KR" sz="900" b="1">
              <a:solidFill>
                <a:srgbClr val="FF0000"/>
              </a:solidFill>
            </a:rPr>
            <a:t>: 4</a:t>
          </a:r>
          <a:endParaRPr lang="ko-KR" altLang="en-US" sz="900" b="1">
            <a:solidFill>
              <a:srgbClr val="FF0000"/>
            </a:solidFill>
          </a:endParaRPr>
        </a:p>
      </xdr:txBody>
    </xdr:sp>
    <xdr:clientData/>
  </xdr:oneCellAnchor>
  <xdr:oneCellAnchor>
    <xdr:from>
      <xdr:col>24</xdr:col>
      <xdr:colOff>529492</xdr:colOff>
      <xdr:row>32</xdr:row>
      <xdr:rowOff>76430</xdr:rowOff>
    </xdr:from>
    <xdr:ext cx="1095132" cy="28361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8891171" y="6281010"/>
          <a:ext cx="1095132" cy="2836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US" altLang="ko-KR" sz="900" b="1">
              <a:solidFill>
                <a:srgbClr val="C00000"/>
              </a:solidFill>
            </a:rPr>
            <a:t>A Grade</a:t>
          </a:r>
          <a:r>
            <a:rPr lang="en-US" altLang="ko-KR" sz="900" b="1" baseline="0">
              <a:solidFill>
                <a:srgbClr val="C00000"/>
              </a:solidFill>
            </a:rPr>
            <a:t> </a:t>
          </a:r>
          <a:r>
            <a:rPr lang="ko-KR" altLang="en-US" sz="900" b="1">
              <a:solidFill>
                <a:srgbClr val="C00000"/>
              </a:solidFill>
            </a:rPr>
            <a:t>조치기준</a:t>
          </a:r>
          <a:r>
            <a:rPr lang="en-US" altLang="ko-KR" sz="900" b="1">
              <a:solidFill>
                <a:srgbClr val="C00000"/>
              </a:solidFill>
            </a:rPr>
            <a:t>: 8</a:t>
          </a:r>
          <a:endParaRPr lang="en-ID" sz="900">
            <a:solidFill>
              <a:srgbClr val="C00000"/>
            </a:solidFill>
          </a:endParaRPr>
        </a:p>
      </xdr:txBody>
    </xdr:sp>
    <xdr:clientData/>
  </xdr:oneCellAnchor>
  <xdr:twoCellAnchor>
    <xdr:from>
      <xdr:col>4</xdr:col>
      <xdr:colOff>437284</xdr:colOff>
      <xdr:row>32</xdr:row>
      <xdr:rowOff>123676</xdr:rowOff>
    </xdr:from>
    <xdr:to>
      <xdr:col>18</xdr:col>
      <xdr:colOff>373021</xdr:colOff>
      <xdr:row>32</xdr:row>
      <xdr:rowOff>125073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 flipV="1">
          <a:off x="4728022" y="5996262"/>
          <a:ext cx="8481308" cy="1397"/>
        </a:xfrm>
        <a:prstGeom prst="line">
          <a:avLst/>
        </a:prstGeom>
        <a:ln w="31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438150</xdr:colOff>
      <xdr:row>32</xdr:row>
      <xdr:rowOff>115213</xdr:rowOff>
    </xdr:from>
    <xdr:to>
      <xdr:col>24</xdr:col>
      <xdr:colOff>320675</xdr:colOff>
      <xdr:row>32</xdr:row>
      <xdr:rowOff>115213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/>
      </xdr:nvCxnSpPr>
      <xdr:spPr>
        <a:xfrm>
          <a:off x="5429250" y="6211213"/>
          <a:ext cx="13344525" cy="0"/>
        </a:xfrm>
        <a:prstGeom prst="line">
          <a:avLst/>
        </a:prstGeom>
        <a:ln w="3175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438656</xdr:colOff>
      <xdr:row>32</xdr:row>
      <xdr:rowOff>85075</xdr:rowOff>
    </xdr:from>
    <xdr:to>
      <xdr:col>24</xdr:col>
      <xdr:colOff>332337</xdr:colOff>
      <xdr:row>32</xdr:row>
      <xdr:rowOff>101825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CxnSpPr/>
      </xdr:nvCxnSpPr>
      <xdr:spPr>
        <a:xfrm flipV="1">
          <a:off x="5429756" y="6181075"/>
          <a:ext cx="13355681" cy="16750"/>
        </a:xfrm>
        <a:prstGeom prst="line">
          <a:avLst/>
        </a:prstGeom>
        <a:ln w="3175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438368</xdr:colOff>
      <xdr:row>18</xdr:row>
      <xdr:rowOff>179383</xdr:rowOff>
    </xdr:from>
    <xdr:to>
      <xdr:col>24</xdr:col>
      <xdr:colOff>319924</xdr:colOff>
      <xdr:row>19</xdr:row>
      <xdr:rowOff>6178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CxnSpPr/>
      </xdr:nvCxnSpPr>
      <xdr:spPr>
        <a:xfrm>
          <a:off x="5421421" y="3669459"/>
          <a:ext cx="13260182" cy="20688"/>
        </a:xfrm>
        <a:prstGeom prst="line">
          <a:avLst/>
        </a:prstGeom>
        <a:ln w="3175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427653</xdr:colOff>
      <xdr:row>6</xdr:row>
      <xdr:rowOff>116628</xdr:rowOff>
    </xdr:from>
    <xdr:to>
      <xdr:col>24</xdr:col>
      <xdr:colOff>310229</xdr:colOff>
      <xdr:row>6</xdr:row>
      <xdr:rowOff>149239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CxnSpPr/>
      </xdr:nvCxnSpPr>
      <xdr:spPr>
        <a:xfrm>
          <a:off x="5410706" y="1279987"/>
          <a:ext cx="13261202" cy="32611"/>
        </a:xfrm>
        <a:prstGeom prst="line">
          <a:avLst/>
        </a:prstGeom>
        <a:ln w="3175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413610</xdr:colOff>
      <xdr:row>17</xdr:row>
      <xdr:rowOff>88893</xdr:rowOff>
    </xdr:from>
    <xdr:ext cx="1313936" cy="21855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 txBox="1"/>
      </xdr:nvSpPr>
      <xdr:spPr>
        <a:xfrm>
          <a:off x="18775289" y="3385076"/>
          <a:ext cx="1313936" cy="2185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900" b="1">
              <a:solidFill>
                <a:srgbClr val="92D050"/>
              </a:solidFill>
            </a:rPr>
            <a:t>C Grade</a:t>
          </a:r>
          <a:r>
            <a:rPr lang="en-US" altLang="ko-KR" sz="900" b="1" baseline="0">
              <a:solidFill>
                <a:srgbClr val="92D050"/>
              </a:solidFill>
            </a:rPr>
            <a:t> </a:t>
          </a:r>
          <a:r>
            <a:rPr lang="ko-KR" altLang="en-US" sz="900" b="1">
              <a:solidFill>
                <a:srgbClr val="92D050"/>
              </a:solidFill>
            </a:rPr>
            <a:t>경고기준</a:t>
          </a:r>
          <a:r>
            <a:rPr lang="en-US" altLang="ko-KR" sz="900" b="1">
              <a:solidFill>
                <a:srgbClr val="92D050"/>
              </a:solidFill>
            </a:rPr>
            <a:t>: 1,540</a:t>
          </a:r>
          <a:endParaRPr lang="ko-KR" altLang="en-US" sz="900" b="1">
            <a:solidFill>
              <a:srgbClr val="92D050"/>
            </a:solidFill>
          </a:endParaRPr>
        </a:p>
      </xdr:txBody>
    </xdr:sp>
    <xdr:clientData/>
  </xdr:oneCellAnchor>
  <xdr:oneCellAnchor>
    <xdr:from>
      <xdr:col>24</xdr:col>
      <xdr:colOff>382999</xdr:colOff>
      <xdr:row>4</xdr:row>
      <xdr:rowOff>179456</xdr:rowOff>
    </xdr:from>
    <xdr:ext cx="1375184" cy="283618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 txBox="1"/>
      </xdr:nvSpPr>
      <xdr:spPr>
        <a:xfrm>
          <a:off x="18744678" y="955029"/>
          <a:ext cx="1375184" cy="2836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900" b="1">
              <a:solidFill>
                <a:srgbClr val="00B050"/>
              </a:solidFill>
            </a:rPr>
            <a:t>C Grade</a:t>
          </a:r>
          <a:r>
            <a:rPr lang="en-US" altLang="ko-KR" sz="900" b="1" baseline="0">
              <a:solidFill>
                <a:srgbClr val="00B050"/>
              </a:solidFill>
            </a:rPr>
            <a:t> </a:t>
          </a:r>
          <a:r>
            <a:rPr lang="ko-KR" altLang="en-US" sz="900" b="1">
              <a:solidFill>
                <a:srgbClr val="00B050"/>
              </a:solidFill>
            </a:rPr>
            <a:t>조치기준</a:t>
          </a:r>
          <a:r>
            <a:rPr lang="en-US" altLang="ko-KR" sz="900" b="1">
              <a:solidFill>
                <a:srgbClr val="00B050"/>
              </a:solidFill>
            </a:rPr>
            <a:t>: 2,900</a:t>
          </a:r>
          <a:endParaRPr lang="en-ID" sz="900">
            <a:solidFill>
              <a:srgbClr val="00B050"/>
            </a:solidFill>
          </a:endParaRPr>
        </a:p>
      </xdr:txBody>
    </xdr:sp>
    <xdr:clientData/>
  </xdr:oneCellAnchor>
  <xdr:oneCellAnchor>
    <xdr:from>
      <xdr:col>24</xdr:col>
      <xdr:colOff>440250</xdr:colOff>
      <xdr:row>30</xdr:row>
      <xdr:rowOff>161908</xdr:rowOff>
    </xdr:from>
    <xdr:ext cx="1141998" cy="241115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 txBox="1"/>
      </xdr:nvSpPr>
      <xdr:spPr>
        <a:xfrm>
          <a:off x="18801929" y="5978702"/>
          <a:ext cx="1141998" cy="2411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900" b="1">
              <a:solidFill>
                <a:srgbClr val="FFC000"/>
              </a:solidFill>
            </a:rPr>
            <a:t>B Grade</a:t>
          </a:r>
          <a:r>
            <a:rPr lang="en-US" altLang="ko-KR" sz="900" b="1" baseline="0">
              <a:solidFill>
                <a:srgbClr val="FFC000"/>
              </a:solidFill>
            </a:rPr>
            <a:t> </a:t>
          </a:r>
          <a:r>
            <a:rPr lang="ko-KR" altLang="en-US" sz="900" b="1">
              <a:solidFill>
                <a:srgbClr val="FFC000"/>
              </a:solidFill>
            </a:rPr>
            <a:t>경고기준</a:t>
          </a:r>
          <a:r>
            <a:rPr lang="en-US" altLang="ko-KR" sz="900" b="1">
              <a:solidFill>
                <a:srgbClr val="FFC000"/>
              </a:solidFill>
            </a:rPr>
            <a:t>: 13</a:t>
          </a:r>
          <a:endParaRPr lang="ko-KR" altLang="en-US" sz="900" b="1">
            <a:solidFill>
              <a:srgbClr val="FFC000"/>
            </a:solidFill>
          </a:endParaRPr>
        </a:p>
      </xdr:txBody>
    </xdr:sp>
    <xdr:clientData/>
  </xdr:oneCellAnchor>
  <xdr:oneCellAnchor>
    <xdr:from>
      <xdr:col>24</xdr:col>
      <xdr:colOff>437937</xdr:colOff>
      <xdr:row>29</xdr:row>
      <xdr:rowOff>138963</xdr:rowOff>
    </xdr:from>
    <xdr:ext cx="1219218" cy="25630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 txBox="1"/>
      </xdr:nvSpPr>
      <xdr:spPr>
        <a:xfrm>
          <a:off x="18799616" y="5761864"/>
          <a:ext cx="1219218" cy="2563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900" b="1">
              <a:solidFill>
                <a:schemeClr val="accent6"/>
              </a:solidFill>
            </a:rPr>
            <a:t>B Grade</a:t>
          </a:r>
          <a:r>
            <a:rPr lang="en-US" altLang="ko-KR" sz="900" b="1" baseline="0">
              <a:solidFill>
                <a:schemeClr val="accent6"/>
              </a:solidFill>
            </a:rPr>
            <a:t> </a:t>
          </a:r>
          <a:r>
            <a:rPr lang="ko-KR" altLang="en-US" sz="900" b="1">
              <a:solidFill>
                <a:schemeClr val="accent6"/>
              </a:solidFill>
            </a:rPr>
            <a:t>조치기준</a:t>
          </a:r>
          <a:r>
            <a:rPr lang="en-US" altLang="ko-KR" sz="900" b="1">
              <a:solidFill>
                <a:schemeClr val="accent6"/>
              </a:solidFill>
            </a:rPr>
            <a:t>: 26</a:t>
          </a:r>
          <a:endParaRPr lang="en-ID" sz="900">
            <a:solidFill>
              <a:schemeClr val="accent6"/>
            </a:solidFill>
          </a:endParaRPr>
        </a:p>
      </xdr:txBody>
    </xdr:sp>
    <xdr:clientData/>
  </xdr:oneCellAnchor>
  <xdr:twoCellAnchor>
    <xdr:from>
      <xdr:col>24</xdr:col>
      <xdr:colOff>313252</xdr:colOff>
      <xdr:row>30</xdr:row>
      <xdr:rowOff>175539</xdr:rowOff>
    </xdr:from>
    <xdr:to>
      <xdr:col>24</xdr:col>
      <xdr:colOff>421837</xdr:colOff>
      <xdr:row>32</xdr:row>
      <xdr:rowOff>86856</xdr:rowOff>
    </xdr:to>
    <xdr:cxnSp macro="">
      <xdr:nvCxnSpPr>
        <xdr:cNvPr id="11" name="직선 연결선 20">
          <a:extLst>
            <a:ext uri="{FF2B5EF4-FFF2-40B4-BE49-F238E27FC236}">
              <a16:creationId xmlns:a16="http://schemas.microsoft.com/office/drawing/2014/main" id="{C4EFCA51-96D3-4878-B993-745B5D0E6256}"/>
            </a:ext>
          </a:extLst>
        </xdr:cNvPr>
        <xdr:cNvCxnSpPr/>
      </xdr:nvCxnSpPr>
      <xdr:spPr>
        <a:xfrm flipV="1">
          <a:off x="18758490" y="5845182"/>
          <a:ext cx="108585" cy="289293"/>
        </a:xfrm>
        <a:prstGeom prst="line">
          <a:avLst/>
        </a:prstGeom>
        <a:ln w="3175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315489</xdr:colOff>
      <xdr:row>32</xdr:row>
      <xdr:rowOff>5985</xdr:rowOff>
    </xdr:from>
    <xdr:to>
      <xdr:col>24</xdr:col>
      <xdr:colOff>421837</xdr:colOff>
      <xdr:row>32</xdr:row>
      <xdr:rowOff>106983</xdr:rowOff>
    </xdr:to>
    <xdr:cxnSp macro="">
      <xdr:nvCxnSpPr>
        <xdr:cNvPr id="16" name="직선 연결선 17">
          <a:extLst>
            <a:ext uri="{FF2B5EF4-FFF2-40B4-BE49-F238E27FC236}">
              <a16:creationId xmlns:a16="http://schemas.microsoft.com/office/drawing/2014/main" id="{C39502F7-DD25-489B-8483-E59D73C59357}"/>
            </a:ext>
          </a:extLst>
        </xdr:cNvPr>
        <xdr:cNvCxnSpPr/>
      </xdr:nvCxnSpPr>
      <xdr:spPr>
        <a:xfrm flipV="1">
          <a:off x="18760727" y="6053604"/>
          <a:ext cx="106348" cy="100998"/>
        </a:xfrm>
        <a:prstGeom prst="line">
          <a:avLst/>
        </a:prstGeom>
        <a:ln w="3175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320104</xdr:colOff>
      <xdr:row>32</xdr:row>
      <xdr:rowOff>123676</xdr:rowOff>
    </xdr:from>
    <xdr:to>
      <xdr:col>24</xdr:col>
      <xdr:colOff>437795</xdr:colOff>
      <xdr:row>33</xdr:row>
      <xdr:rowOff>34720</xdr:rowOff>
    </xdr:to>
    <xdr:cxnSp macro="">
      <xdr:nvCxnSpPr>
        <xdr:cNvPr id="33" name="직선 연결선 7">
          <a:extLst>
            <a:ext uri="{FF2B5EF4-FFF2-40B4-BE49-F238E27FC236}">
              <a16:creationId xmlns:a16="http://schemas.microsoft.com/office/drawing/2014/main" id="{93EA550D-ADDD-46A0-A022-F301581D8E72}"/>
            </a:ext>
          </a:extLst>
        </xdr:cNvPr>
        <xdr:cNvCxnSpPr/>
      </xdr:nvCxnSpPr>
      <xdr:spPr>
        <a:xfrm>
          <a:off x="18765342" y="6171295"/>
          <a:ext cx="117691" cy="100032"/>
        </a:xfrm>
        <a:prstGeom prst="line">
          <a:avLst/>
        </a:prstGeom>
        <a:ln w="31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316114</xdr:colOff>
      <xdr:row>32</xdr:row>
      <xdr:rowOff>133649</xdr:rowOff>
    </xdr:from>
    <xdr:to>
      <xdr:col>24</xdr:col>
      <xdr:colOff>481680</xdr:colOff>
      <xdr:row>34</xdr:row>
      <xdr:rowOff>11969</xdr:rowOff>
    </xdr:to>
    <xdr:cxnSp macro="">
      <xdr:nvCxnSpPr>
        <xdr:cNvPr id="44" name="직선 연결선 6">
          <a:extLst>
            <a:ext uri="{FF2B5EF4-FFF2-40B4-BE49-F238E27FC236}">
              <a16:creationId xmlns:a16="http://schemas.microsoft.com/office/drawing/2014/main" id="{90707C01-DECC-00B4-70A3-255E84A534CA}"/>
            </a:ext>
          </a:extLst>
        </xdr:cNvPr>
        <xdr:cNvCxnSpPr/>
      </xdr:nvCxnSpPr>
      <xdr:spPr>
        <a:xfrm>
          <a:off x="18761352" y="6181268"/>
          <a:ext cx="165566" cy="256296"/>
        </a:xfrm>
        <a:prstGeom prst="line">
          <a:avLst/>
        </a:prstGeom>
        <a:ln w="31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306775</xdr:colOff>
      <xdr:row>6</xdr:row>
      <xdr:rowOff>26276</xdr:rowOff>
    </xdr:from>
    <xdr:to>
      <xdr:col>24</xdr:col>
      <xdr:colOff>543259</xdr:colOff>
      <xdr:row>6</xdr:row>
      <xdr:rowOff>140139</xdr:rowOff>
    </xdr:to>
    <xdr:cxnSp macro="">
      <xdr:nvCxnSpPr>
        <xdr:cNvPr id="52" name="직선 연결선 22">
          <a:extLst>
            <a:ext uri="{FF2B5EF4-FFF2-40B4-BE49-F238E27FC236}">
              <a16:creationId xmlns:a16="http://schemas.microsoft.com/office/drawing/2014/main" id="{2F814DA6-B9BC-4DF3-AE7E-1B5667409E27}"/>
            </a:ext>
          </a:extLst>
        </xdr:cNvPr>
        <xdr:cNvCxnSpPr/>
      </xdr:nvCxnSpPr>
      <xdr:spPr>
        <a:xfrm flipV="1">
          <a:off x="18668454" y="1189635"/>
          <a:ext cx="236484" cy="113863"/>
        </a:xfrm>
        <a:prstGeom prst="line">
          <a:avLst/>
        </a:prstGeom>
        <a:ln w="3175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329085</xdr:colOff>
      <xdr:row>18</xdr:row>
      <xdr:rowOff>110942</xdr:rowOff>
    </xdr:from>
    <xdr:to>
      <xdr:col>24</xdr:col>
      <xdr:colOff>501337</xdr:colOff>
      <xdr:row>18</xdr:row>
      <xdr:rowOff>181011</xdr:rowOff>
    </xdr:to>
    <xdr:cxnSp macro="">
      <xdr:nvCxnSpPr>
        <xdr:cNvPr id="58" name="직선 연결선 21">
          <a:extLst>
            <a:ext uri="{FF2B5EF4-FFF2-40B4-BE49-F238E27FC236}">
              <a16:creationId xmlns:a16="http://schemas.microsoft.com/office/drawing/2014/main" id="{0525D526-2BBB-4475-9354-CF15C44C8522}"/>
            </a:ext>
          </a:extLst>
        </xdr:cNvPr>
        <xdr:cNvCxnSpPr/>
      </xdr:nvCxnSpPr>
      <xdr:spPr>
        <a:xfrm flipV="1">
          <a:off x="18690764" y="3601018"/>
          <a:ext cx="172252" cy="70069"/>
        </a:xfrm>
        <a:prstGeom prst="line">
          <a:avLst/>
        </a:prstGeom>
        <a:ln w="3175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0.04263</cdr:x>
      <cdr:y>0.86264</cdr:y>
    </cdr:from>
    <cdr:to>
      <cdr:x>0.92966</cdr:x>
      <cdr:y>0.86264</cdr:y>
    </cdr:to>
    <cdr:cxnSp macro="">
      <cdr:nvCxnSpPr>
        <cdr:cNvPr id="7" name="직선 연결선 6">
          <a:extLst xmlns:a="http://schemas.openxmlformats.org/drawingml/2006/main">
            <a:ext uri="{FF2B5EF4-FFF2-40B4-BE49-F238E27FC236}">
              <a16:creationId xmlns:a16="http://schemas.microsoft.com/office/drawing/2014/main" id="{E7E67DBB-F237-5CA5-78AF-369094621D11}"/>
            </a:ext>
          </a:extLst>
        </cdr:cNvPr>
        <cdr:cNvCxnSpPr/>
      </cdr:nvCxnSpPr>
      <cdr:spPr>
        <a:xfrm xmlns:a="http://schemas.openxmlformats.org/drawingml/2006/main">
          <a:off x="629298" y="6043880"/>
          <a:ext cx="13094145" cy="0"/>
        </a:xfrm>
        <a:prstGeom xmlns:a="http://schemas.openxmlformats.org/drawingml/2006/main" prst="line">
          <a:avLst/>
        </a:prstGeom>
        <a:ln xmlns:a="http://schemas.openxmlformats.org/drawingml/2006/main" w="3175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Irfan Qobus" refreshedDate="46180.543713541665" createdVersion="8" refreshedVersion="8" minRefreshableVersion="3" recordCount="11" xr:uid="{00000000-000A-0000-FFFF-FFFF06000000}">
  <cacheSource type="worksheet">
    <worksheetSource ref="A1:G12" sheet="AHU-33 Table"/>
  </cacheSource>
  <cacheFields count="7">
    <cacheField name="NO" numFmtId="0">
      <sharedItems containsSemiMixedTypes="0" containsString="0" containsNumber="1" containsInteger="1" minValue="1" maxValue="11"/>
    </cacheField>
    <cacheField name="청정 등급" numFmtId="0">
      <sharedItems count="4">
        <s v="B"/>
        <s v="D"/>
        <s v="C"/>
        <s v="A"/>
      </sharedItems>
    </cacheField>
    <cacheField name="실번호" numFmtId="0">
      <sharedItems containsSemiMixedTypes="0" containsString="0" containsNumber="1" containsInteger="1" minValue="2142" maxValue="2169" count="5">
        <n v="2142"/>
        <n v="2165"/>
        <n v="2147"/>
        <n v="2169"/>
        <n v="2145"/>
      </sharedItems>
    </cacheField>
    <cacheField name="실명" numFmtId="0">
      <sharedItems count="14">
        <s v="무균 실험실"/>
        <s v="균주접종실"/>
        <s v="탈의실"/>
        <s v="복도"/>
        <s v="PASS BOX(QHA-745)"/>
        <s v="PASS BOX(QHA-744)"/>
        <s v="PASS BOX(QHA-743)"/>
        <s v="PASS BOX(QHA-742)"/>
        <s v="무균시험실 BSC"/>
        <s v="균주접종실 BSC"/>
        <s v="PASS BOX (QHA-744)" u="1"/>
        <s v="PASS BOX (QHA-743)" u="1"/>
        <s v="PASS BOX (QHA-742)" u="1"/>
        <s v="PASS BOX (QHA-745)" u="1"/>
      </sharedItems>
    </cacheField>
    <cacheField name="Average 0.5㎛" numFmtId="0">
      <sharedItems containsSemiMixedTypes="0" containsString="0" containsNumber="1" containsInteger="1" minValue="2" maxValue="54260"/>
    </cacheField>
    <cacheField name="Average 5.0㎛" numFmtId="0">
      <sharedItems containsSemiMixedTypes="0" containsString="0" containsNumber="1" minValue="0" maxValue="2600"/>
    </cacheField>
    <cacheField name="측정일자" numFmtId="0">
      <sharedItems count="1">
        <s v="2025 (하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"/>
    <x v="0"/>
    <x v="0"/>
    <x v="0"/>
    <n v="299"/>
    <n v="5"/>
    <x v="0"/>
  </r>
  <r>
    <n v="2"/>
    <x v="1"/>
    <x v="1"/>
    <x v="1"/>
    <n v="1990"/>
    <n v="201.66666666666671"/>
    <x v="0"/>
  </r>
  <r>
    <n v="3"/>
    <x v="2"/>
    <x v="2"/>
    <x v="2"/>
    <n v="24225"/>
    <n v="945"/>
    <x v="0"/>
  </r>
  <r>
    <n v="4"/>
    <x v="1"/>
    <x v="3"/>
    <x v="3"/>
    <n v="6657"/>
    <n v="970"/>
    <x v="0"/>
  </r>
  <r>
    <n v="5"/>
    <x v="1"/>
    <x v="4"/>
    <x v="2"/>
    <n v="54260"/>
    <n v="1170"/>
    <x v="0"/>
  </r>
  <r>
    <n v="6"/>
    <x v="0"/>
    <x v="0"/>
    <x v="4"/>
    <n v="428"/>
    <n v="2"/>
    <x v="0"/>
  </r>
  <r>
    <n v="7"/>
    <x v="0"/>
    <x v="0"/>
    <x v="5"/>
    <n v="102"/>
    <n v="1"/>
    <x v="0"/>
  </r>
  <r>
    <n v="8"/>
    <x v="1"/>
    <x v="3"/>
    <x v="6"/>
    <n v="28320"/>
    <n v="2600"/>
    <x v="0"/>
  </r>
  <r>
    <n v="9"/>
    <x v="1"/>
    <x v="3"/>
    <x v="7"/>
    <n v="65"/>
    <n v="0"/>
    <x v="0"/>
  </r>
  <r>
    <n v="10"/>
    <x v="3"/>
    <x v="0"/>
    <x v="8"/>
    <n v="2"/>
    <n v="0"/>
    <x v="0"/>
  </r>
  <r>
    <n v="11"/>
    <x v="0"/>
    <x v="1"/>
    <x v="9"/>
    <n v="2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35" firstHeaderRow="1" firstDataRow="2" firstDataCol="1"/>
  <pivotFields count="7">
    <pivotField showAll="0"/>
    <pivotField axis="axisRow" showAll="0">
      <items count="5">
        <item x="3"/>
        <item x="0"/>
        <item x="2"/>
        <item x="1"/>
        <item t="default"/>
      </items>
    </pivotField>
    <pivotField axis="axisRow" showAll="0">
      <items count="6">
        <item x="0"/>
        <item x="4"/>
        <item x="2"/>
        <item x="1"/>
        <item x="3"/>
        <item t="default"/>
      </items>
    </pivotField>
    <pivotField axis="axisRow" showAll="0">
      <items count="15">
        <item m="1" x="12"/>
        <item m="1" x="11"/>
        <item m="1" x="10"/>
        <item m="1" x="13"/>
        <item x="1"/>
        <item x="9"/>
        <item x="0"/>
        <item x="8"/>
        <item x="3"/>
        <item x="2"/>
        <item x="4"/>
        <item x="5"/>
        <item x="6"/>
        <item x="7"/>
        <item t="default"/>
      </items>
    </pivotField>
    <pivotField dataField="1" showAll="0"/>
    <pivotField showAll="0"/>
    <pivotField axis="axisCol" showAll="0">
      <items count="2">
        <item x="0"/>
        <item t="default"/>
      </items>
    </pivotField>
  </pivotFields>
  <rowFields count="3">
    <field x="3"/>
    <field x="2"/>
    <field x="1"/>
  </rowFields>
  <rowItems count="33">
    <i>
      <x v="4"/>
    </i>
    <i r="1">
      <x v="3"/>
    </i>
    <i r="2">
      <x v="3"/>
    </i>
    <i>
      <x v="5"/>
    </i>
    <i r="1">
      <x v="3"/>
    </i>
    <i r="2">
      <x v="1"/>
    </i>
    <i>
      <x v="6"/>
    </i>
    <i r="1">
      <x/>
    </i>
    <i r="2">
      <x v="1"/>
    </i>
    <i>
      <x v="7"/>
    </i>
    <i r="1">
      <x/>
    </i>
    <i r="2">
      <x/>
    </i>
    <i>
      <x v="8"/>
    </i>
    <i r="1">
      <x v="4"/>
    </i>
    <i r="2">
      <x v="3"/>
    </i>
    <i>
      <x v="9"/>
    </i>
    <i r="1">
      <x v="1"/>
    </i>
    <i r="2">
      <x v="3"/>
    </i>
    <i r="1">
      <x v="2"/>
    </i>
    <i r="2">
      <x v="2"/>
    </i>
    <i>
      <x v="10"/>
    </i>
    <i r="1">
      <x/>
    </i>
    <i r="2">
      <x v="1"/>
    </i>
    <i>
      <x v="11"/>
    </i>
    <i r="1">
      <x/>
    </i>
    <i r="2">
      <x v="1"/>
    </i>
    <i>
      <x v="12"/>
    </i>
    <i r="1">
      <x v="4"/>
    </i>
    <i r="2">
      <x v="3"/>
    </i>
    <i>
      <x v="13"/>
    </i>
    <i r="1">
      <x v="4"/>
    </i>
    <i r="2">
      <x v="3"/>
    </i>
    <i t="grand">
      <x/>
    </i>
  </rowItems>
  <colFields count="1">
    <field x="6"/>
  </colFields>
  <colItems count="2">
    <i>
      <x/>
    </i>
    <i t="grand">
      <x/>
    </i>
  </colItems>
  <dataFields count="1">
    <dataField name="Sum of Average 0.5㎛" fld="4" baseField="0" baseItem="0"/>
  </dataFields>
  <chartFormats count="2">
    <chartFormat chart="0" format="1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25" firstHeaderRow="1" firstDataRow="2" firstDataCol="1"/>
  <pivotFields count="7">
    <pivotField showAll="0"/>
    <pivotField axis="axisRow" showAll="0">
      <items count="5">
        <item x="3"/>
        <item x="0"/>
        <item x="2"/>
        <item x="1"/>
        <item t="default"/>
      </items>
    </pivotField>
    <pivotField axis="axisRow" showAll="0">
      <items count="6">
        <item x="0"/>
        <item x="4"/>
        <item x="2"/>
        <item x="1"/>
        <item x="3"/>
        <item t="default"/>
      </items>
    </pivotField>
    <pivotField axis="axisRow" showAll="0">
      <items count="15">
        <item m="1" x="12"/>
        <item m="1" x="11"/>
        <item m="1" x="10"/>
        <item m="1" x="13"/>
        <item x="1"/>
        <item x="9"/>
        <item x="0"/>
        <item x="8"/>
        <item x="3"/>
        <item x="2"/>
        <item x="4"/>
        <item x="5"/>
        <item x="6"/>
        <item x="7"/>
        <item t="default"/>
      </items>
    </pivotField>
    <pivotField showAll="0"/>
    <pivotField dataField="1" showAll="0"/>
    <pivotField axis="axisCol" showAll="0">
      <items count="2">
        <item x="0"/>
        <item t="default"/>
      </items>
    </pivotField>
  </pivotFields>
  <rowFields count="3">
    <field x="1"/>
    <field x="2"/>
    <field x="3"/>
  </rowFields>
  <rowItems count="23">
    <i>
      <x/>
    </i>
    <i r="1">
      <x/>
    </i>
    <i r="2">
      <x v="7"/>
    </i>
    <i>
      <x v="1"/>
    </i>
    <i r="1">
      <x/>
    </i>
    <i r="2">
      <x v="6"/>
    </i>
    <i r="2">
      <x v="10"/>
    </i>
    <i r="2">
      <x v="11"/>
    </i>
    <i r="1">
      <x v="3"/>
    </i>
    <i r="2">
      <x v="5"/>
    </i>
    <i>
      <x v="2"/>
    </i>
    <i r="1">
      <x v="2"/>
    </i>
    <i r="2">
      <x v="9"/>
    </i>
    <i>
      <x v="3"/>
    </i>
    <i r="1">
      <x v="1"/>
    </i>
    <i r="2">
      <x v="9"/>
    </i>
    <i r="1">
      <x v="3"/>
    </i>
    <i r="2">
      <x v="4"/>
    </i>
    <i r="1">
      <x v="4"/>
    </i>
    <i r="2">
      <x v="8"/>
    </i>
    <i r="2">
      <x v="12"/>
    </i>
    <i r="2">
      <x v="13"/>
    </i>
    <i t="grand">
      <x/>
    </i>
  </rowItems>
  <colFields count="1">
    <field x="6"/>
  </colFields>
  <colItems count="2">
    <i>
      <x/>
    </i>
    <i t="grand">
      <x/>
    </i>
  </colItems>
  <dataFields count="1">
    <dataField name="Sum of Average 5.0㎛" fld="5" baseField="0" baseItem="0"/>
  </dataFields>
  <chartFormats count="2">
    <chartFormat chart="0" format="0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opLeftCell="A13" zoomScaleNormal="100" workbookViewId="0">
      <selection activeCell="I15" sqref="I15:I20"/>
    </sheetView>
  </sheetViews>
  <sheetFormatPr baseColWidth="10" defaultColWidth="8.83203125" defaultRowHeight="15" x14ac:dyDescent="0.2"/>
  <cols>
    <col min="1" max="1" width="6" customWidth="1"/>
    <col min="2" max="3" width="10" customWidth="1"/>
    <col min="4" max="4" width="22" customWidth="1"/>
    <col min="5" max="5" width="10" customWidth="1"/>
    <col min="6" max="6" width="12" customWidth="1"/>
    <col min="7" max="7" width="14" customWidth="1"/>
    <col min="8" max="8" width="12" customWidth="1"/>
    <col min="9" max="9" width="14" customWidth="1"/>
    <col min="10" max="10" width="12" customWidth="1"/>
  </cols>
  <sheetData>
    <row r="1" spans="1:10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7" spans="1:10" x14ac:dyDescent="0.2">
      <c r="A7" s="8" t="s">
        <v>1</v>
      </c>
      <c r="B7" s="8" t="s">
        <v>2</v>
      </c>
      <c r="C7" s="8" t="s">
        <v>3</v>
      </c>
      <c r="D7" s="8" t="s">
        <v>4</v>
      </c>
      <c r="E7" s="8" t="s">
        <v>5</v>
      </c>
      <c r="F7" s="8" t="s">
        <v>6</v>
      </c>
      <c r="G7" s="14"/>
      <c r="H7" s="14"/>
      <c r="I7" s="15"/>
      <c r="J7" s="8" t="s">
        <v>7</v>
      </c>
    </row>
    <row r="8" spans="1:10" ht="16" x14ac:dyDescent="0.2">
      <c r="A8" s="9"/>
      <c r="B8" s="9"/>
      <c r="C8" s="9"/>
      <c r="D8" s="9"/>
      <c r="E8" s="9"/>
      <c r="F8" s="1" t="s">
        <v>8</v>
      </c>
      <c r="G8" s="1" t="s">
        <v>9</v>
      </c>
      <c r="H8" s="1" t="s">
        <v>10</v>
      </c>
      <c r="I8" s="1" t="s">
        <v>11</v>
      </c>
      <c r="J8" s="9"/>
    </row>
    <row r="9" spans="1:10" x14ac:dyDescent="0.2">
      <c r="A9" s="2">
        <v>1</v>
      </c>
      <c r="B9" s="10" t="s">
        <v>12</v>
      </c>
      <c r="C9" s="10">
        <v>2142</v>
      </c>
      <c r="D9" s="10" t="s">
        <v>13</v>
      </c>
      <c r="E9" s="2">
        <v>1</v>
      </c>
      <c r="F9" s="2">
        <v>121</v>
      </c>
      <c r="G9" s="10">
        <f>AVERAGE(F9:F14)</f>
        <v>299.16666666666669</v>
      </c>
      <c r="H9" s="2">
        <v>7</v>
      </c>
      <c r="I9" s="10">
        <f>AVERAGE(H9:H14)</f>
        <v>5</v>
      </c>
      <c r="J9" s="10" t="s">
        <v>14</v>
      </c>
    </row>
    <row r="10" spans="1:10" x14ac:dyDescent="0.2">
      <c r="A10" s="2">
        <v>2</v>
      </c>
      <c r="B10" s="11"/>
      <c r="C10" s="11"/>
      <c r="D10" s="11"/>
      <c r="E10" s="2">
        <v>2</v>
      </c>
      <c r="F10" s="2">
        <v>194</v>
      </c>
      <c r="G10" s="11"/>
      <c r="H10" s="2">
        <v>0</v>
      </c>
      <c r="I10" s="11"/>
      <c r="J10" s="11"/>
    </row>
    <row r="11" spans="1:10" x14ac:dyDescent="0.2">
      <c r="A11" s="2">
        <v>3</v>
      </c>
      <c r="B11" s="11"/>
      <c r="C11" s="11"/>
      <c r="D11" s="11"/>
      <c r="E11" s="2">
        <v>3</v>
      </c>
      <c r="F11" s="3">
        <v>676</v>
      </c>
      <c r="G11" s="11"/>
      <c r="H11" s="2">
        <v>9</v>
      </c>
      <c r="I11" s="11"/>
      <c r="J11" s="11"/>
    </row>
    <row r="12" spans="1:10" x14ac:dyDescent="0.2">
      <c r="A12" s="2">
        <v>4</v>
      </c>
      <c r="B12" s="11"/>
      <c r="C12" s="11"/>
      <c r="D12" s="11"/>
      <c r="E12" s="2">
        <v>4</v>
      </c>
      <c r="F12" s="2">
        <v>576</v>
      </c>
      <c r="G12" s="11"/>
      <c r="H12" s="2">
        <v>9</v>
      </c>
      <c r="I12" s="11"/>
      <c r="J12" s="11"/>
    </row>
    <row r="13" spans="1:10" x14ac:dyDescent="0.2">
      <c r="A13" s="2">
        <v>5</v>
      </c>
      <c r="B13" s="11"/>
      <c r="C13" s="11"/>
      <c r="D13" s="11"/>
      <c r="E13" s="2">
        <v>5</v>
      </c>
      <c r="F13" s="2">
        <v>107</v>
      </c>
      <c r="G13" s="11"/>
      <c r="H13" s="2">
        <v>1</v>
      </c>
      <c r="I13" s="11"/>
      <c r="J13" s="11"/>
    </row>
    <row r="14" spans="1:10" x14ac:dyDescent="0.2">
      <c r="A14" s="2">
        <v>6</v>
      </c>
      <c r="B14" s="9"/>
      <c r="C14" s="9"/>
      <c r="D14" s="9"/>
      <c r="E14" s="2">
        <v>6</v>
      </c>
      <c r="F14" s="2">
        <v>121</v>
      </c>
      <c r="G14" s="9"/>
      <c r="H14" s="2">
        <v>4</v>
      </c>
      <c r="I14" s="9"/>
      <c r="J14" s="9"/>
    </row>
    <row r="15" spans="1:10" x14ac:dyDescent="0.2">
      <c r="A15" s="2">
        <v>7</v>
      </c>
      <c r="B15" s="10" t="s">
        <v>15</v>
      </c>
      <c r="C15" s="10">
        <v>2165</v>
      </c>
      <c r="D15" s="10" t="s">
        <v>16</v>
      </c>
      <c r="E15" s="2">
        <v>1</v>
      </c>
      <c r="F15" s="2">
        <v>5420</v>
      </c>
      <c r="G15" s="10">
        <f>AVERAGE(F15:F20)</f>
        <v>1990</v>
      </c>
      <c r="H15" s="2">
        <v>400</v>
      </c>
      <c r="I15" s="10">
        <f>AVERAGE(H15:H20)</f>
        <v>201.66666666666666</v>
      </c>
      <c r="J15" s="10" t="s">
        <v>14</v>
      </c>
    </row>
    <row r="16" spans="1:10" x14ac:dyDescent="0.2">
      <c r="A16" s="2">
        <v>8</v>
      </c>
      <c r="B16" s="11"/>
      <c r="C16" s="11"/>
      <c r="D16" s="11"/>
      <c r="E16" s="2">
        <v>2</v>
      </c>
      <c r="F16" s="2">
        <v>570</v>
      </c>
      <c r="G16" s="11"/>
      <c r="H16" s="2">
        <v>20</v>
      </c>
      <c r="I16" s="11"/>
      <c r="J16" s="11"/>
    </row>
    <row r="17" spans="1:10" x14ac:dyDescent="0.2">
      <c r="A17" s="2">
        <v>9</v>
      </c>
      <c r="B17" s="11"/>
      <c r="C17" s="11"/>
      <c r="D17" s="11"/>
      <c r="E17" s="2">
        <v>3</v>
      </c>
      <c r="F17" s="2">
        <v>660</v>
      </c>
      <c r="G17" s="11"/>
      <c r="H17" s="2">
        <v>50</v>
      </c>
      <c r="I17" s="11"/>
      <c r="J17" s="11"/>
    </row>
    <row r="18" spans="1:10" x14ac:dyDescent="0.2">
      <c r="A18" s="2">
        <v>10</v>
      </c>
      <c r="B18" s="11"/>
      <c r="C18" s="11"/>
      <c r="D18" s="11"/>
      <c r="E18" s="2">
        <v>4</v>
      </c>
      <c r="F18" s="2">
        <v>4000</v>
      </c>
      <c r="G18" s="11"/>
      <c r="H18" s="2">
        <v>620</v>
      </c>
      <c r="I18" s="11"/>
      <c r="J18" s="11"/>
    </row>
    <row r="19" spans="1:10" x14ac:dyDescent="0.2">
      <c r="A19" s="2">
        <v>11</v>
      </c>
      <c r="B19" s="11"/>
      <c r="C19" s="11"/>
      <c r="D19" s="11"/>
      <c r="E19" s="2">
        <v>5</v>
      </c>
      <c r="F19" s="2">
        <v>690</v>
      </c>
      <c r="G19" s="11"/>
      <c r="H19" s="2">
        <v>110</v>
      </c>
      <c r="I19" s="11"/>
      <c r="J19" s="11"/>
    </row>
    <row r="20" spans="1:10" x14ac:dyDescent="0.2">
      <c r="A20" s="2">
        <v>12</v>
      </c>
      <c r="B20" s="9"/>
      <c r="C20" s="9"/>
      <c r="D20" s="9"/>
      <c r="E20" s="2">
        <v>6</v>
      </c>
      <c r="F20" s="2">
        <v>600</v>
      </c>
      <c r="G20" s="9"/>
      <c r="H20" s="2">
        <v>10</v>
      </c>
      <c r="I20" s="9"/>
      <c r="J20" s="9"/>
    </row>
    <row r="21" spans="1:10" x14ac:dyDescent="0.2">
      <c r="A21" s="2">
        <v>13</v>
      </c>
      <c r="B21" s="10" t="s">
        <v>17</v>
      </c>
      <c r="C21" s="10">
        <v>2147</v>
      </c>
      <c r="D21" s="10" t="s">
        <v>18</v>
      </c>
      <c r="E21" s="2">
        <v>1</v>
      </c>
      <c r="F21" s="3">
        <v>30760</v>
      </c>
      <c r="G21" s="10">
        <f>AVERAGE(F21:F22)</f>
        <v>24225</v>
      </c>
      <c r="H21" s="2">
        <v>1340</v>
      </c>
      <c r="I21" s="10">
        <f>AVERAGE(H21:H22)</f>
        <v>945</v>
      </c>
      <c r="J21" s="10" t="s">
        <v>14</v>
      </c>
    </row>
    <row r="22" spans="1:10" x14ac:dyDescent="0.2">
      <c r="A22" s="2">
        <v>14</v>
      </c>
      <c r="B22" s="9"/>
      <c r="C22" s="9"/>
      <c r="D22" s="9"/>
      <c r="E22" s="2">
        <v>2</v>
      </c>
      <c r="F22" s="2">
        <v>17690</v>
      </c>
      <c r="G22" s="9"/>
      <c r="H22" s="2">
        <v>550</v>
      </c>
      <c r="I22" s="9"/>
      <c r="J22" s="9"/>
    </row>
    <row r="23" spans="1:10" x14ac:dyDescent="0.2">
      <c r="A23" s="2">
        <v>15</v>
      </c>
      <c r="B23" s="10" t="s">
        <v>15</v>
      </c>
      <c r="C23" s="10">
        <v>2169</v>
      </c>
      <c r="D23" s="10" t="s">
        <v>19</v>
      </c>
      <c r="E23" s="2">
        <v>1</v>
      </c>
      <c r="F23" s="2">
        <v>11140</v>
      </c>
      <c r="G23" s="10">
        <f>AVERAGE(F23:F25)</f>
        <v>6656.666666666667</v>
      </c>
      <c r="H23" s="2">
        <v>1670</v>
      </c>
      <c r="I23" s="10">
        <f>AVERAGE(H23:H25)</f>
        <v>970</v>
      </c>
      <c r="J23" s="10" t="s">
        <v>14</v>
      </c>
    </row>
    <row r="24" spans="1:10" x14ac:dyDescent="0.2">
      <c r="A24" s="2">
        <v>16</v>
      </c>
      <c r="B24" s="11"/>
      <c r="C24" s="11"/>
      <c r="D24" s="11"/>
      <c r="E24" s="2">
        <v>2</v>
      </c>
      <c r="F24" s="2">
        <v>4120</v>
      </c>
      <c r="G24" s="11"/>
      <c r="H24" s="2">
        <v>650</v>
      </c>
      <c r="I24" s="11"/>
      <c r="J24" s="11"/>
    </row>
    <row r="25" spans="1:10" x14ac:dyDescent="0.2">
      <c r="A25" s="2">
        <v>17</v>
      </c>
      <c r="B25" s="9"/>
      <c r="C25" s="9"/>
      <c r="D25" s="9"/>
      <c r="E25" s="2">
        <v>3</v>
      </c>
      <c r="F25" s="2">
        <v>4710</v>
      </c>
      <c r="G25" s="9"/>
      <c r="H25" s="2">
        <v>590</v>
      </c>
      <c r="I25" s="9"/>
      <c r="J25" s="9"/>
    </row>
    <row r="26" spans="1:10" ht="16" x14ac:dyDescent="0.2">
      <c r="A26" s="2">
        <v>18</v>
      </c>
      <c r="B26" s="2" t="s">
        <v>15</v>
      </c>
      <c r="C26" s="2">
        <v>2145</v>
      </c>
      <c r="D26" s="2" t="s">
        <v>18</v>
      </c>
      <c r="E26" s="2">
        <v>1</v>
      </c>
      <c r="F26" s="2">
        <v>54260</v>
      </c>
      <c r="G26" s="2">
        <f>AVERAGE(F26:F26)</f>
        <v>54260</v>
      </c>
      <c r="H26" s="2">
        <v>1170</v>
      </c>
      <c r="I26" s="2">
        <f>AVERAGE(H26:H26)</f>
        <v>1170</v>
      </c>
      <c r="J26" s="2" t="s">
        <v>14</v>
      </c>
    </row>
    <row r="27" spans="1:10" x14ac:dyDescent="0.2">
      <c r="A27" s="2">
        <v>19</v>
      </c>
      <c r="B27" s="10" t="s">
        <v>12</v>
      </c>
      <c r="C27" s="10">
        <v>2142</v>
      </c>
      <c r="D27" s="10" t="s">
        <v>20</v>
      </c>
      <c r="E27" s="2">
        <v>1</v>
      </c>
      <c r="F27" s="2">
        <v>539</v>
      </c>
      <c r="G27" s="10">
        <f>AVERAGE(F27:F28)</f>
        <v>428</v>
      </c>
      <c r="H27" s="2">
        <v>4</v>
      </c>
      <c r="I27" s="10">
        <f>AVERAGE(H27:H28)</f>
        <v>2</v>
      </c>
      <c r="J27" s="10" t="s">
        <v>14</v>
      </c>
    </row>
    <row r="28" spans="1:10" x14ac:dyDescent="0.2">
      <c r="A28" s="2">
        <v>20</v>
      </c>
      <c r="B28" s="9"/>
      <c r="C28" s="9"/>
      <c r="D28" s="9"/>
      <c r="E28" s="2">
        <v>2</v>
      </c>
      <c r="F28" s="2">
        <v>317</v>
      </c>
      <c r="G28" s="9"/>
      <c r="H28" s="2">
        <v>0</v>
      </c>
      <c r="I28" s="9"/>
      <c r="J28" s="9"/>
    </row>
    <row r="29" spans="1:10" x14ac:dyDescent="0.2">
      <c r="A29" s="2">
        <v>21</v>
      </c>
      <c r="B29" s="10" t="s">
        <v>12</v>
      </c>
      <c r="C29" s="10">
        <v>2142</v>
      </c>
      <c r="D29" s="10" t="s">
        <v>21</v>
      </c>
      <c r="E29" s="2">
        <v>1</v>
      </c>
      <c r="F29" s="2">
        <v>90</v>
      </c>
      <c r="G29" s="10">
        <f>AVERAGE(F29:F30)</f>
        <v>102</v>
      </c>
      <c r="H29" s="2">
        <v>1</v>
      </c>
      <c r="I29" s="10">
        <f>AVERAGE(H29:H30)</f>
        <v>1</v>
      </c>
      <c r="J29" s="10" t="s">
        <v>14</v>
      </c>
    </row>
    <row r="30" spans="1:10" x14ac:dyDescent="0.2">
      <c r="A30" s="2">
        <v>22</v>
      </c>
      <c r="B30" s="9"/>
      <c r="C30" s="9"/>
      <c r="D30" s="9"/>
      <c r="E30" s="2">
        <v>2</v>
      </c>
      <c r="F30" s="2">
        <v>114</v>
      </c>
      <c r="G30" s="9"/>
      <c r="H30" s="2">
        <v>1</v>
      </c>
      <c r="I30" s="9"/>
      <c r="J30" s="9"/>
    </row>
    <row r="31" spans="1:10" x14ac:dyDescent="0.2">
      <c r="A31" s="2">
        <v>23</v>
      </c>
      <c r="B31" s="10" t="s">
        <v>15</v>
      </c>
      <c r="C31" s="10">
        <v>2169</v>
      </c>
      <c r="D31" s="10" t="s">
        <v>22</v>
      </c>
      <c r="E31" s="2">
        <v>1</v>
      </c>
      <c r="F31" s="2">
        <v>25830</v>
      </c>
      <c r="G31" s="10">
        <f>AVERAGE(F31:F32)</f>
        <v>28320</v>
      </c>
      <c r="H31" s="2">
        <v>2240</v>
      </c>
      <c r="I31" s="10">
        <f>AVERAGE(H31:H32)</f>
        <v>2600</v>
      </c>
      <c r="J31" s="10" t="s">
        <v>14</v>
      </c>
    </row>
    <row r="32" spans="1:10" x14ac:dyDescent="0.2">
      <c r="A32" s="2">
        <v>24</v>
      </c>
      <c r="B32" s="9"/>
      <c r="C32" s="9"/>
      <c r="D32" s="9"/>
      <c r="E32" s="2">
        <v>2</v>
      </c>
      <c r="F32" s="2">
        <v>30810</v>
      </c>
      <c r="G32" s="9"/>
      <c r="H32" s="2">
        <v>2960</v>
      </c>
      <c r="I32" s="9"/>
      <c r="J32" s="9"/>
    </row>
    <row r="33" spans="1:10" x14ac:dyDescent="0.2">
      <c r="A33" s="2">
        <v>25</v>
      </c>
      <c r="B33" s="10" t="s">
        <v>15</v>
      </c>
      <c r="C33" s="10">
        <v>2169</v>
      </c>
      <c r="D33" s="10" t="s">
        <v>23</v>
      </c>
      <c r="E33" s="2">
        <v>1</v>
      </c>
      <c r="F33" s="2">
        <v>60</v>
      </c>
      <c r="G33" s="10">
        <f>AVERAGE(F33:F34)</f>
        <v>65</v>
      </c>
      <c r="H33" s="2">
        <v>0</v>
      </c>
      <c r="I33" s="10">
        <f>AVERAGE(H33:H34)</f>
        <v>0</v>
      </c>
      <c r="J33" s="10" t="s">
        <v>14</v>
      </c>
    </row>
    <row r="34" spans="1:10" x14ac:dyDescent="0.2">
      <c r="A34" s="2">
        <v>26</v>
      </c>
      <c r="B34" s="9"/>
      <c r="C34" s="9"/>
      <c r="D34" s="9"/>
      <c r="E34" s="2">
        <v>2</v>
      </c>
      <c r="F34" s="2">
        <v>70</v>
      </c>
      <c r="G34" s="9"/>
      <c r="H34" s="2">
        <v>0</v>
      </c>
      <c r="I34" s="9"/>
      <c r="J34" s="9"/>
    </row>
    <row r="35" spans="1:10" x14ac:dyDescent="0.2">
      <c r="A35" s="2">
        <v>27</v>
      </c>
      <c r="B35" s="10" t="s">
        <v>24</v>
      </c>
      <c r="C35" s="10">
        <v>2142</v>
      </c>
      <c r="D35" s="10" t="s">
        <v>25</v>
      </c>
      <c r="E35" s="2">
        <v>1</v>
      </c>
      <c r="F35" s="2">
        <v>3</v>
      </c>
      <c r="G35" s="10">
        <f>AVERAGE(F35:F36)</f>
        <v>2</v>
      </c>
      <c r="H35" s="2">
        <v>0</v>
      </c>
      <c r="I35" s="10">
        <f>AVERAGE(H35:H36)</f>
        <v>0</v>
      </c>
      <c r="J35" s="10" t="s">
        <v>14</v>
      </c>
    </row>
    <row r="36" spans="1:10" x14ac:dyDescent="0.2">
      <c r="A36" s="2">
        <v>28</v>
      </c>
      <c r="B36" s="9"/>
      <c r="C36" s="9"/>
      <c r="D36" s="9"/>
      <c r="E36" s="2">
        <v>2</v>
      </c>
      <c r="F36" s="2">
        <v>1</v>
      </c>
      <c r="G36" s="9"/>
      <c r="H36" s="2">
        <v>0</v>
      </c>
      <c r="I36" s="9"/>
      <c r="J36" s="9"/>
    </row>
    <row r="37" spans="1:10" x14ac:dyDescent="0.2">
      <c r="A37" s="2">
        <v>29</v>
      </c>
      <c r="B37" s="10" t="s">
        <v>12</v>
      </c>
      <c r="C37" s="10">
        <v>2165</v>
      </c>
      <c r="D37" s="10" t="s">
        <v>26</v>
      </c>
      <c r="E37" s="2">
        <v>1</v>
      </c>
      <c r="F37" s="2">
        <v>4</v>
      </c>
      <c r="G37" s="10">
        <f>AVERAGE(F37:F38)</f>
        <v>2</v>
      </c>
      <c r="H37" s="2">
        <v>0</v>
      </c>
      <c r="I37" s="10">
        <f>AVERAGE(H37:H38)</f>
        <v>0</v>
      </c>
      <c r="J37" s="10" t="s">
        <v>14</v>
      </c>
    </row>
    <row r="38" spans="1:10" x14ac:dyDescent="0.2">
      <c r="A38" s="2">
        <v>30</v>
      </c>
      <c r="B38" s="9"/>
      <c r="C38" s="9"/>
      <c r="D38" s="9"/>
      <c r="E38" s="2">
        <v>2</v>
      </c>
      <c r="F38" s="2">
        <v>0</v>
      </c>
      <c r="G38" s="9"/>
      <c r="H38" s="2">
        <v>0</v>
      </c>
      <c r="I38" s="9"/>
      <c r="J38" s="9"/>
    </row>
  </sheetData>
  <mergeCells count="68">
    <mergeCell ref="J9:J14"/>
    <mergeCell ref="D7:D8"/>
    <mergeCell ref="C21:C22"/>
    <mergeCell ref="I21:I22"/>
    <mergeCell ref="J15:J20"/>
    <mergeCell ref="I9:I14"/>
    <mergeCell ref="C15:C20"/>
    <mergeCell ref="I15:I20"/>
    <mergeCell ref="J37:J38"/>
    <mergeCell ref="C23:C25"/>
    <mergeCell ref="I23:I25"/>
    <mergeCell ref="B29:B30"/>
    <mergeCell ref="J27:J28"/>
    <mergeCell ref="C35:C36"/>
    <mergeCell ref="D23:D25"/>
    <mergeCell ref="C31:C32"/>
    <mergeCell ref="G37:G38"/>
    <mergeCell ref="B27:B28"/>
    <mergeCell ref="D27:D28"/>
    <mergeCell ref="C33:C34"/>
    <mergeCell ref="C29:C30"/>
    <mergeCell ref="B23:B25"/>
    <mergeCell ref="B31:B32"/>
    <mergeCell ref="I27:I28"/>
    <mergeCell ref="I37:I38"/>
    <mergeCell ref="J7:J8"/>
    <mergeCell ref="I33:I34"/>
    <mergeCell ref="J23:J25"/>
    <mergeCell ref="C9:C14"/>
    <mergeCell ref="J35:J36"/>
    <mergeCell ref="G29:G30"/>
    <mergeCell ref="G35:G36"/>
    <mergeCell ref="D29:D30"/>
    <mergeCell ref="I35:I36"/>
    <mergeCell ref="D9:D14"/>
    <mergeCell ref="G27:G28"/>
    <mergeCell ref="I31:I32"/>
    <mergeCell ref="J33:J34"/>
    <mergeCell ref="D15:D20"/>
    <mergeCell ref="J29:J30"/>
    <mergeCell ref="A1:J1"/>
    <mergeCell ref="D33:D34"/>
    <mergeCell ref="G33:G34"/>
    <mergeCell ref="F7:I7"/>
    <mergeCell ref="C27:C28"/>
    <mergeCell ref="C7:C8"/>
    <mergeCell ref="G15:G20"/>
    <mergeCell ref="B33:B34"/>
    <mergeCell ref="E7:E8"/>
    <mergeCell ref="J21:J22"/>
    <mergeCell ref="I29:I30"/>
    <mergeCell ref="J31:J32"/>
    <mergeCell ref="B15:B20"/>
    <mergeCell ref="G23:G25"/>
    <mergeCell ref="A7:A8"/>
    <mergeCell ref="D21:D22"/>
    <mergeCell ref="B7:B8"/>
    <mergeCell ref="G21:G22"/>
    <mergeCell ref="D31:D32"/>
    <mergeCell ref="C37:C38"/>
    <mergeCell ref="G31:G32"/>
    <mergeCell ref="D35:D36"/>
    <mergeCell ref="B21:B22"/>
    <mergeCell ref="B35:B36"/>
    <mergeCell ref="G9:G14"/>
    <mergeCell ref="B37:B38"/>
    <mergeCell ref="D37:D38"/>
    <mergeCell ref="B9:B14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zoomScale="130" zoomScaleNormal="130" workbookViewId="0">
      <selection activeCell="H19" sqref="H19"/>
    </sheetView>
  </sheetViews>
  <sheetFormatPr baseColWidth="10" defaultColWidth="8.83203125" defaultRowHeight="15" x14ac:dyDescent="0.2"/>
  <cols>
    <col min="1" max="1" width="6" customWidth="1"/>
    <col min="2" max="3" width="10" customWidth="1"/>
    <col min="4" max="4" width="22" customWidth="1"/>
    <col min="5" max="6" width="16" customWidth="1"/>
    <col min="7" max="7" width="12" customWidth="1"/>
  </cols>
  <sheetData>
    <row r="1" spans="1:7" ht="16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9</v>
      </c>
      <c r="F1" s="1" t="s">
        <v>11</v>
      </c>
      <c r="G1" s="1" t="s">
        <v>7</v>
      </c>
    </row>
    <row r="2" spans="1:7" ht="16" x14ac:dyDescent="0.2">
      <c r="A2" s="2">
        <v>1</v>
      </c>
      <c r="B2" s="2" t="s">
        <v>12</v>
      </c>
      <c r="C2" s="2">
        <v>2142</v>
      </c>
      <c r="D2" s="2" t="s">
        <v>13</v>
      </c>
      <c r="E2" s="2">
        <v>299</v>
      </c>
      <c r="F2" s="2">
        <v>5</v>
      </c>
      <c r="G2" s="2" t="s">
        <v>14</v>
      </c>
    </row>
    <row r="3" spans="1:7" ht="16" x14ac:dyDescent="0.2">
      <c r="A3" s="2">
        <v>2</v>
      </c>
      <c r="B3" s="2" t="s">
        <v>15</v>
      </c>
      <c r="C3" s="2">
        <v>2165</v>
      </c>
      <c r="D3" s="2" t="s">
        <v>16</v>
      </c>
      <c r="E3" s="2">
        <v>1990</v>
      </c>
      <c r="F3" s="2">
        <v>201.66666666666671</v>
      </c>
      <c r="G3" s="2" t="s">
        <v>14</v>
      </c>
    </row>
    <row r="4" spans="1:7" ht="16" x14ac:dyDescent="0.2">
      <c r="A4" s="2">
        <v>3</v>
      </c>
      <c r="B4" s="2" t="s">
        <v>17</v>
      </c>
      <c r="C4" s="2">
        <v>2147</v>
      </c>
      <c r="D4" s="2" t="s">
        <v>18</v>
      </c>
      <c r="E4" s="2">
        <v>24225</v>
      </c>
      <c r="F4" s="2">
        <v>945</v>
      </c>
      <c r="G4" s="2" t="s">
        <v>14</v>
      </c>
    </row>
    <row r="5" spans="1:7" ht="16" x14ac:dyDescent="0.2">
      <c r="A5" s="2">
        <v>4</v>
      </c>
      <c r="B5" s="2" t="s">
        <v>15</v>
      </c>
      <c r="C5" s="2">
        <v>2169</v>
      </c>
      <c r="D5" s="2" t="s">
        <v>19</v>
      </c>
      <c r="E5" s="2">
        <v>6657</v>
      </c>
      <c r="F5" s="2">
        <v>970</v>
      </c>
      <c r="G5" s="2" t="s">
        <v>14</v>
      </c>
    </row>
    <row r="6" spans="1:7" ht="16" x14ac:dyDescent="0.2">
      <c r="A6" s="2">
        <v>5</v>
      </c>
      <c r="B6" s="2" t="s">
        <v>15</v>
      </c>
      <c r="C6" s="2">
        <v>2145</v>
      </c>
      <c r="D6" s="2" t="s">
        <v>18</v>
      </c>
      <c r="E6" s="2">
        <v>54260</v>
      </c>
      <c r="F6" s="2">
        <v>1170</v>
      </c>
      <c r="G6" s="2" t="s">
        <v>14</v>
      </c>
    </row>
    <row r="7" spans="1:7" ht="16" x14ac:dyDescent="0.2">
      <c r="A7" s="2">
        <v>6</v>
      </c>
      <c r="B7" s="2" t="s">
        <v>12</v>
      </c>
      <c r="C7" s="2">
        <v>2142</v>
      </c>
      <c r="D7" s="2" t="s">
        <v>20</v>
      </c>
      <c r="E7" s="2">
        <v>428</v>
      </c>
      <c r="F7" s="2">
        <v>2</v>
      </c>
      <c r="G7" s="2" t="s">
        <v>14</v>
      </c>
    </row>
    <row r="8" spans="1:7" ht="16" x14ac:dyDescent="0.2">
      <c r="A8" s="2">
        <v>7</v>
      </c>
      <c r="B8" s="2" t="s">
        <v>12</v>
      </c>
      <c r="C8" s="2">
        <v>2142</v>
      </c>
      <c r="D8" s="2" t="s">
        <v>21</v>
      </c>
      <c r="E8" s="2">
        <v>102</v>
      </c>
      <c r="F8" s="2">
        <v>1</v>
      </c>
      <c r="G8" s="2" t="s">
        <v>14</v>
      </c>
    </row>
    <row r="9" spans="1:7" ht="16" x14ac:dyDescent="0.2">
      <c r="A9" s="2">
        <v>8</v>
      </c>
      <c r="B9" s="2" t="s">
        <v>15</v>
      </c>
      <c r="C9" s="2">
        <v>2169</v>
      </c>
      <c r="D9" s="2" t="s">
        <v>22</v>
      </c>
      <c r="E9" s="2">
        <v>28320</v>
      </c>
      <c r="F9" s="2">
        <v>2600</v>
      </c>
      <c r="G9" s="2" t="s">
        <v>14</v>
      </c>
    </row>
    <row r="10" spans="1:7" ht="16" x14ac:dyDescent="0.2">
      <c r="A10" s="2">
        <v>9</v>
      </c>
      <c r="B10" s="2" t="s">
        <v>15</v>
      </c>
      <c r="C10" s="2">
        <v>2169</v>
      </c>
      <c r="D10" s="2" t="s">
        <v>23</v>
      </c>
      <c r="E10" s="2">
        <v>65</v>
      </c>
      <c r="F10" s="2">
        <v>0</v>
      </c>
      <c r="G10" s="2" t="s">
        <v>14</v>
      </c>
    </row>
    <row r="11" spans="1:7" ht="16" x14ac:dyDescent="0.2">
      <c r="A11" s="2">
        <v>10</v>
      </c>
      <c r="B11" s="2" t="s">
        <v>24</v>
      </c>
      <c r="C11" s="2">
        <v>2142</v>
      </c>
      <c r="D11" s="2" t="s">
        <v>25</v>
      </c>
      <c r="E11" s="2">
        <v>2</v>
      </c>
      <c r="F11" s="2">
        <v>0</v>
      </c>
      <c r="G11" s="2" t="s">
        <v>14</v>
      </c>
    </row>
    <row r="12" spans="1:7" ht="16" x14ac:dyDescent="0.2">
      <c r="A12" s="2">
        <v>11</v>
      </c>
      <c r="B12" s="2" t="s">
        <v>12</v>
      </c>
      <c r="C12" s="2">
        <v>2165</v>
      </c>
      <c r="D12" s="2" t="s">
        <v>26</v>
      </c>
      <c r="E12" s="2">
        <v>2</v>
      </c>
      <c r="F12" s="2">
        <v>0</v>
      </c>
      <c r="G12" s="2" t="s">
        <v>14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4"/>
  <sheetViews>
    <sheetView topLeftCell="S35" zoomScale="346" zoomScaleNormal="59" workbookViewId="0">
      <selection activeCell="O54" sqref="O54"/>
    </sheetView>
  </sheetViews>
  <sheetFormatPr baseColWidth="10" defaultColWidth="8.83203125" defaultRowHeight="15" x14ac:dyDescent="0.2"/>
  <cols>
    <col min="1" max="1" width="19.5" bestFit="1" customWidth="1"/>
    <col min="2" max="2" width="18.1640625" bestFit="1" customWidth="1"/>
    <col min="3" max="3" width="10.6640625" bestFit="1" customWidth="1"/>
  </cols>
  <sheetData>
    <row r="1" spans="1:3" x14ac:dyDescent="0.2">
      <c r="A1" s="6" t="s">
        <v>27</v>
      </c>
      <c r="B1" s="6" t="s">
        <v>32</v>
      </c>
    </row>
    <row r="2" spans="1:3" x14ac:dyDescent="0.2">
      <c r="A2" s="6" t="s">
        <v>33</v>
      </c>
      <c r="B2" t="s">
        <v>14</v>
      </c>
      <c r="C2" t="s">
        <v>34</v>
      </c>
    </row>
    <row r="3" spans="1:3" x14ac:dyDescent="0.2">
      <c r="A3" s="7" t="s">
        <v>16</v>
      </c>
      <c r="B3" s="17">
        <v>1990</v>
      </c>
      <c r="C3" s="17">
        <v>1990</v>
      </c>
    </row>
    <row r="4" spans="1:3" x14ac:dyDescent="0.2">
      <c r="A4" s="4">
        <v>2165</v>
      </c>
      <c r="B4" s="17">
        <v>1990</v>
      </c>
      <c r="C4" s="17">
        <v>1990</v>
      </c>
    </row>
    <row r="5" spans="1:3" x14ac:dyDescent="0.2">
      <c r="A5" s="5" t="s">
        <v>15</v>
      </c>
      <c r="B5" s="17">
        <v>1990</v>
      </c>
      <c r="C5" s="17">
        <v>1990</v>
      </c>
    </row>
    <row r="6" spans="1:3" x14ac:dyDescent="0.2">
      <c r="A6" s="7" t="s">
        <v>26</v>
      </c>
      <c r="B6" s="17">
        <v>2</v>
      </c>
      <c r="C6" s="17">
        <v>2</v>
      </c>
    </row>
    <row r="7" spans="1:3" x14ac:dyDescent="0.2">
      <c r="A7" s="4">
        <v>2165</v>
      </c>
      <c r="B7" s="17">
        <v>2</v>
      </c>
      <c r="C7" s="17">
        <v>2</v>
      </c>
    </row>
    <row r="8" spans="1:3" x14ac:dyDescent="0.2">
      <c r="A8" s="5" t="s">
        <v>12</v>
      </c>
      <c r="B8" s="17">
        <v>2</v>
      </c>
      <c r="C8" s="17">
        <v>2</v>
      </c>
    </row>
    <row r="9" spans="1:3" x14ac:dyDescent="0.2">
      <c r="A9" s="7" t="s">
        <v>13</v>
      </c>
      <c r="B9" s="17">
        <v>299</v>
      </c>
      <c r="C9" s="17">
        <v>299</v>
      </c>
    </row>
    <row r="10" spans="1:3" x14ac:dyDescent="0.2">
      <c r="A10" s="4">
        <v>2142</v>
      </c>
      <c r="B10" s="17">
        <v>299</v>
      </c>
      <c r="C10" s="17">
        <v>299</v>
      </c>
    </row>
    <row r="11" spans="1:3" x14ac:dyDescent="0.2">
      <c r="A11" s="5" t="s">
        <v>12</v>
      </c>
      <c r="B11" s="17">
        <v>299</v>
      </c>
      <c r="C11" s="17">
        <v>299</v>
      </c>
    </row>
    <row r="12" spans="1:3" x14ac:dyDescent="0.2">
      <c r="A12" s="7" t="s">
        <v>25</v>
      </c>
      <c r="B12" s="17">
        <v>2</v>
      </c>
      <c r="C12" s="17">
        <v>2</v>
      </c>
    </row>
    <row r="13" spans="1:3" x14ac:dyDescent="0.2">
      <c r="A13" s="4">
        <v>2142</v>
      </c>
      <c r="B13" s="17">
        <v>2</v>
      </c>
      <c r="C13" s="17">
        <v>2</v>
      </c>
    </row>
    <row r="14" spans="1:3" x14ac:dyDescent="0.2">
      <c r="A14" s="5" t="s">
        <v>24</v>
      </c>
      <c r="B14" s="17">
        <v>2</v>
      </c>
      <c r="C14" s="17">
        <v>2</v>
      </c>
    </row>
    <row r="15" spans="1:3" x14ac:dyDescent="0.2">
      <c r="A15" s="7" t="s">
        <v>19</v>
      </c>
      <c r="B15" s="17">
        <v>6657</v>
      </c>
      <c r="C15" s="17">
        <v>6657</v>
      </c>
    </row>
    <row r="16" spans="1:3" x14ac:dyDescent="0.2">
      <c r="A16" s="4">
        <v>2169</v>
      </c>
      <c r="B16" s="17">
        <v>6657</v>
      </c>
      <c r="C16" s="17">
        <v>6657</v>
      </c>
    </row>
    <row r="17" spans="1:3" x14ac:dyDescent="0.2">
      <c r="A17" s="5" t="s">
        <v>15</v>
      </c>
      <c r="B17" s="17">
        <v>6657</v>
      </c>
      <c r="C17" s="17">
        <v>6657</v>
      </c>
    </row>
    <row r="18" spans="1:3" x14ac:dyDescent="0.2">
      <c r="A18" s="7" t="s">
        <v>18</v>
      </c>
      <c r="B18" s="17">
        <v>78485</v>
      </c>
      <c r="C18" s="17">
        <v>78485</v>
      </c>
    </row>
    <row r="19" spans="1:3" x14ac:dyDescent="0.2">
      <c r="A19" s="4">
        <v>2145</v>
      </c>
      <c r="B19" s="17">
        <v>54260</v>
      </c>
      <c r="C19" s="17">
        <v>54260</v>
      </c>
    </row>
    <row r="20" spans="1:3" x14ac:dyDescent="0.2">
      <c r="A20" s="5" t="s">
        <v>15</v>
      </c>
      <c r="B20" s="17">
        <v>54260</v>
      </c>
      <c r="C20" s="17">
        <v>54260</v>
      </c>
    </row>
    <row r="21" spans="1:3" x14ac:dyDescent="0.2">
      <c r="A21" s="4">
        <v>2147</v>
      </c>
      <c r="B21" s="17">
        <v>24225</v>
      </c>
      <c r="C21" s="17">
        <v>24225</v>
      </c>
    </row>
    <row r="22" spans="1:3" x14ac:dyDescent="0.2">
      <c r="A22" s="5" t="s">
        <v>17</v>
      </c>
      <c r="B22" s="17">
        <v>24225</v>
      </c>
      <c r="C22" s="17">
        <v>24225</v>
      </c>
    </row>
    <row r="23" spans="1:3" x14ac:dyDescent="0.2">
      <c r="A23" s="7" t="s">
        <v>20</v>
      </c>
      <c r="B23" s="17">
        <v>428</v>
      </c>
      <c r="C23" s="17">
        <v>428</v>
      </c>
    </row>
    <row r="24" spans="1:3" x14ac:dyDescent="0.2">
      <c r="A24" s="4">
        <v>2142</v>
      </c>
      <c r="B24" s="17">
        <v>428</v>
      </c>
      <c r="C24" s="17">
        <v>428</v>
      </c>
    </row>
    <row r="25" spans="1:3" x14ac:dyDescent="0.2">
      <c r="A25" s="5" t="s">
        <v>12</v>
      </c>
      <c r="B25" s="17">
        <v>428</v>
      </c>
      <c r="C25" s="17">
        <v>428</v>
      </c>
    </row>
    <row r="26" spans="1:3" x14ac:dyDescent="0.2">
      <c r="A26" s="7" t="s">
        <v>21</v>
      </c>
      <c r="B26" s="17">
        <v>102</v>
      </c>
      <c r="C26" s="17">
        <v>102</v>
      </c>
    </row>
    <row r="27" spans="1:3" x14ac:dyDescent="0.2">
      <c r="A27" s="4">
        <v>2142</v>
      </c>
      <c r="B27" s="17">
        <v>102</v>
      </c>
      <c r="C27" s="17">
        <v>102</v>
      </c>
    </row>
    <row r="28" spans="1:3" x14ac:dyDescent="0.2">
      <c r="A28" s="5" t="s">
        <v>12</v>
      </c>
      <c r="B28" s="17">
        <v>102</v>
      </c>
      <c r="C28" s="17">
        <v>102</v>
      </c>
    </row>
    <row r="29" spans="1:3" x14ac:dyDescent="0.2">
      <c r="A29" s="7" t="s">
        <v>22</v>
      </c>
      <c r="B29" s="17">
        <v>28320</v>
      </c>
      <c r="C29" s="17">
        <v>28320</v>
      </c>
    </row>
    <row r="30" spans="1:3" x14ac:dyDescent="0.2">
      <c r="A30" s="4">
        <v>2169</v>
      </c>
      <c r="B30" s="17">
        <v>28320</v>
      </c>
      <c r="C30" s="17">
        <v>28320</v>
      </c>
    </row>
    <row r="31" spans="1:3" x14ac:dyDescent="0.2">
      <c r="A31" s="5" t="s">
        <v>15</v>
      </c>
      <c r="B31" s="17">
        <v>28320</v>
      </c>
      <c r="C31" s="17">
        <v>28320</v>
      </c>
    </row>
    <row r="32" spans="1:3" x14ac:dyDescent="0.2">
      <c r="A32" s="7" t="s">
        <v>23</v>
      </c>
      <c r="B32" s="17">
        <v>65</v>
      </c>
      <c r="C32" s="17">
        <v>65</v>
      </c>
    </row>
    <row r="33" spans="1:19" x14ac:dyDescent="0.2">
      <c r="A33" s="4">
        <v>2169</v>
      </c>
      <c r="B33" s="17">
        <v>65</v>
      </c>
      <c r="C33" s="17">
        <v>65</v>
      </c>
    </row>
    <row r="34" spans="1:19" x14ac:dyDescent="0.2">
      <c r="A34" s="5" t="s">
        <v>15</v>
      </c>
      <c r="B34" s="17">
        <v>65</v>
      </c>
      <c r="C34" s="17">
        <v>65</v>
      </c>
    </row>
    <row r="35" spans="1:19" x14ac:dyDescent="0.2">
      <c r="A35" s="7" t="s">
        <v>34</v>
      </c>
      <c r="B35" s="17">
        <v>116350</v>
      </c>
      <c r="C35" s="17">
        <v>116350</v>
      </c>
    </row>
    <row r="48" spans="1:19" x14ac:dyDescent="0.2">
      <c r="E48" s="16" t="s">
        <v>29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</row>
    <row r="49" spans="5:18" x14ac:dyDescent="0.2">
      <c r="E49" s="16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</row>
    <row r="54" spans="5:18" x14ac:dyDescent="0.2">
      <c r="J54" t="s">
        <v>31</v>
      </c>
    </row>
  </sheetData>
  <mergeCells count="2">
    <mergeCell ref="E49:R49"/>
    <mergeCell ref="E48:S48"/>
  </mergeCells>
  <phoneticPr fontId="4" type="noConversion"/>
  <pageMargins left="0.75" right="0.75" top="1" bottom="1" header="0.5" footer="0.5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tabSelected="1" zoomScale="88" zoomScaleNormal="131" workbookViewId="0">
      <selection activeCell="U39" sqref="U39"/>
    </sheetView>
  </sheetViews>
  <sheetFormatPr baseColWidth="10" defaultColWidth="8.83203125" defaultRowHeight="15" x14ac:dyDescent="0.2"/>
  <cols>
    <col min="1" max="1" width="22.6640625" bestFit="1" customWidth="1"/>
    <col min="2" max="2" width="19.5" bestFit="1" customWidth="1"/>
    <col min="3" max="3" width="14.5" bestFit="1" customWidth="1"/>
  </cols>
  <sheetData>
    <row r="1" spans="1:3" x14ac:dyDescent="0.2">
      <c r="A1" s="6" t="s">
        <v>28</v>
      </c>
      <c r="B1" s="6" t="s">
        <v>32</v>
      </c>
    </row>
    <row r="2" spans="1:3" x14ac:dyDescent="0.2">
      <c r="A2" s="6" t="s">
        <v>33</v>
      </c>
      <c r="B2" t="s">
        <v>14</v>
      </c>
      <c r="C2" t="s">
        <v>34</v>
      </c>
    </row>
    <row r="3" spans="1:3" x14ac:dyDescent="0.2">
      <c r="A3" s="7" t="s">
        <v>24</v>
      </c>
      <c r="B3" s="17">
        <v>0</v>
      </c>
      <c r="C3" s="17">
        <v>0</v>
      </c>
    </row>
    <row r="4" spans="1:3" x14ac:dyDescent="0.2">
      <c r="A4" s="4">
        <v>2142</v>
      </c>
      <c r="B4" s="17">
        <v>0</v>
      </c>
      <c r="C4" s="17">
        <v>0</v>
      </c>
    </row>
    <row r="5" spans="1:3" x14ac:dyDescent="0.2">
      <c r="A5" s="5" t="s">
        <v>25</v>
      </c>
      <c r="B5" s="17">
        <v>0</v>
      </c>
      <c r="C5" s="17">
        <v>0</v>
      </c>
    </row>
    <row r="6" spans="1:3" x14ac:dyDescent="0.2">
      <c r="A6" s="7" t="s">
        <v>12</v>
      </c>
      <c r="B6" s="17">
        <v>8</v>
      </c>
      <c r="C6" s="17">
        <v>8</v>
      </c>
    </row>
    <row r="7" spans="1:3" x14ac:dyDescent="0.2">
      <c r="A7" s="4">
        <v>2142</v>
      </c>
      <c r="B7" s="17">
        <v>8</v>
      </c>
      <c r="C7" s="17">
        <v>8</v>
      </c>
    </row>
    <row r="8" spans="1:3" x14ac:dyDescent="0.2">
      <c r="A8" s="5" t="s">
        <v>13</v>
      </c>
      <c r="B8" s="17">
        <v>5</v>
      </c>
      <c r="C8" s="17">
        <v>5</v>
      </c>
    </row>
    <row r="9" spans="1:3" x14ac:dyDescent="0.2">
      <c r="A9" s="5" t="s">
        <v>20</v>
      </c>
      <c r="B9" s="17">
        <v>2</v>
      </c>
      <c r="C9" s="17">
        <v>2</v>
      </c>
    </row>
    <row r="10" spans="1:3" x14ac:dyDescent="0.2">
      <c r="A10" s="5" t="s">
        <v>21</v>
      </c>
      <c r="B10" s="17">
        <v>1</v>
      </c>
      <c r="C10" s="17">
        <v>1</v>
      </c>
    </row>
    <row r="11" spans="1:3" x14ac:dyDescent="0.2">
      <c r="A11" s="4">
        <v>2165</v>
      </c>
      <c r="B11" s="17">
        <v>0</v>
      </c>
      <c r="C11" s="17">
        <v>0</v>
      </c>
    </row>
    <row r="12" spans="1:3" x14ac:dyDescent="0.2">
      <c r="A12" s="5" t="s">
        <v>26</v>
      </c>
      <c r="B12" s="17">
        <v>0</v>
      </c>
      <c r="C12" s="17">
        <v>0</v>
      </c>
    </row>
    <row r="13" spans="1:3" x14ac:dyDescent="0.2">
      <c r="A13" s="7" t="s">
        <v>17</v>
      </c>
      <c r="B13" s="17">
        <v>945</v>
      </c>
      <c r="C13" s="17">
        <v>945</v>
      </c>
    </row>
    <row r="14" spans="1:3" x14ac:dyDescent="0.2">
      <c r="A14" s="4">
        <v>2147</v>
      </c>
      <c r="B14" s="17">
        <v>945</v>
      </c>
      <c r="C14" s="17">
        <v>945</v>
      </c>
    </row>
    <row r="15" spans="1:3" x14ac:dyDescent="0.2">
      <c r="A15" s="5" t="s">
        <v>18</v>
      </c>
      <c r="B15" s="17">
        <v>945</v>
      </c>
      <c r="C15" s="17">
        <v>945</v>
      </c>
    </row>
    <row r="16" spans="1:3" x14ac:dyDescent="0.2">
      <c r="A16" s="7" t="s">
        <v>15</v>
      </c>
      <c r="B16" s="17">
        <v>4941.666666666667</v>
      </c>
      <c r="C16" s="17">
        <v>4941.666666666667</v>
      </c>
    </row>
    <row r="17" spans="1:3" x14ac:dyDescent="0.2">
      <c r="A17" s="4">
        <v>2145</v>
      </c>
      <c r="B17" s="17">
        <v>1170</v>
      </c>
      <c r="C17" s="17">
        <v>1170</v>
      </c>
    </row>
    <row r="18" spans="1:3" x14ac:dyDescent="0.2">
      <c r="A18" s="5" t="s">
        <v>18</v>
      </c>
      <c r="B18" s="17">
        <v>1170</v>
      </c>
      <c r="C18" s="17">
        <v>1170</v>
      </c>
    </row>
    <row r="19" spans="1:3" x14ac:dyDescent="0.2">
      <c r="A19" s="4">
        <v>2165</v>
      </c>
      <c r="B19" s="17">
        <v>201.66666666666671</v>
      </c>
      <c r="C19" s="17">
        <v>201.66666666666671</v>
      </c>
    </row>
    <row r="20" spans="1:3" x14ac:dyDescent="0.2">
      <c r="A20" s="5" t="s">
        <v>16</v>
      </c>
      <c r="B20" s="17">
        <v>201.66666666666671</v>
      </c>
      <c r="C20" s="17">
        <v>201.66666666666671</v>
      </c>
    </row>
    <row r="21" spans="1:3" x14ac:dyDescent="0.2">
      <c r="A21" s="4">
        <v>2169</v>
      </c>
      <c r="B21" s="17">
        <v>3570</v>
      </c>
      <c r="C21" s="17">
        <v>3570</v>
      </c>
    </row>
    <row r="22" spans="1:3" x14ac:dyDescent="0.2">
      <c r="A22" s="5" t="s">
        <v>19</v>
      </c>
      <c r="B22" s="17">
        <v>970</v>
      </c>
      <c r="C22" s="17">
        <v>970</v>
      </c>
    </row>
    <row r="23" spans="1:3" x14ac:dyDescent="0.2">
      <c r="A23" s="5" t="s">
        <v>22</v>
      </c>
      <c r="B23" s="17">
        <v>2600</v>
      </c>
      <c r="C23" s="17">
        <v>2600</v>
      </c>
    </row>
    <row r="24" spans="1:3" x14ac:dyDescent="0.2">
      <c r="A24" s="5" t="s">
        <v>23</v>
      </c>
      <c r="B24" s="17">
        <v>0</v>
      </c>
      <c r="C24" s="17">
        <v>0</v>
      </c>
    </row>
    <row r="25" spans="1:3" x14ac:dyDescent="0.2">
      <c r="A25" s="7" t="s">
        <v>34</v>
      </c>
      <c r="B25" s="17">
        <v>5894.6666666666661</v>
      </c>
      <c r="C25" s="17">
        <v>5894.6666666666661</v>
      </c>
    </row>
    <row r="40" spans="5:18" x14ac:dyDescent="0.2">
      <c r="E40" s="16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</row>
    <row r="41" spans="5:18" x14ac:dyDescent="0.2">
      <c r="E41" s="16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</row>
  </sheetData>
  <mergeCells count="2">
    <mergeCell ref="E40:R40"/>
    <mergeCell ref="E41:R41"/>
  </mergeCells>
  <phoneticPr fontId="4" type="noConversion"/>
  <pageMargins left="0.75" right="0.75" top="1" bottom="1" header="0.5" footer="0.5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AHU-33 Data</vt:lpstr>
      <vt:lpstr>AHU-33 Table</vt:lpstr>
      <vt:lpstr>AHU-33 0.5</vt:lpstr>
      <vt:lpstr>AHU-33 5.0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Qobus Salim</cp:lastModifiedBy>
  <dcterms:created xsi:type="dcterms:W3CDTF">2026-05-03T23:54:04Z</dcterms:created>
  <dcterms:modified xsi:type="dcterms:W3CDTF">2026-06-07T06:07:29Z</dcterms:modified>
</cp:coreProperties>
</file>